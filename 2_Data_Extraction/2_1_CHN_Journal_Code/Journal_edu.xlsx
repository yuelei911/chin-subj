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dorpmo" sheetId="3" r:id="rId1"/>
    <sheet name="Sheet1" sheetId="1" r:id="rId2"/>
  </sheets>
  <definedNames>
    <definedName name="_xlnm._FilterDatabase" localSheetId="1" hidden="1">Sheet1!$P$1:$P$199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<sst xmlns="http://schemas.openxmlformats.org/spreadsheetml/2006/main" count="2229" uniqueCount="472">
  <si>
    <t>Article_IDs</t>
  </si>
  <si>
    <t>Study_Number</t>
  </si>
  <si>
    <t>Subjects_Group</t>
  </si>
  <si>
    <t>Sample_Size</t>
  </si>
  <si>
    <t>Sample_Type_N</t>
  </si>
  <si>
    <t>Educational_Attainment_N</t>
  </si>
  <si>
    <t>M_age</t>
  </si>
  <si>
    <t>SD_age</t>
  </si>
  <si>
    <t>Educational_Attainment_info_N</t>
  </si>
  <si>
    <t>College_and_above</t>
  </si>
  <si>
    <t>Below_college</t>
  </si>
  <si>
    <t>High_school_and_above</t>
  </si>
  <si>
    <t>Below_high_school</t>
  </si>
  <si>
    <t>M_edu_year</t>
  </si>
  <si>
    <t>SD_edu_year</t>
  </si>
  <si>
    <t>Below_elementary_schol</t>
  </si>
  <si>
    <t>Elementary_chool</t>
  </si>
  <si>
    <t>Middle_school</t>
  </si>
  <si>
    <t>High_school</t>
  </si>
  <si>
    <t>College_and_above2</t>
  </si>
  <si>
    <t>20081061</t>
  </si>
  <si>
    <t>1</t>
  </si>
  <si>
    <t>母亲</t>
  </si>
  <si>
    <t>4</t>
  </si>
  <si>
    <t>受教育水平在大专以上的占76.3％</t>
  </si>
  <si>
    <t>父亲</t>
  </si>
  <si>
    <t>大专以上学历占79．7％</t>
  </si>
  <si>
    <t>20081099</t>
  </si>
  <si>
    <t>初测样本</t>
  </si>
  <si>
    <t>高中、中专及以下占11.87%,大专占22.83%,本科占52.05%,硕士及以上占10.05%。</t>
  </si>
  <si>
    <t>正式施测样本</t>
  </si>
  <si>
    <t>高中、中专及以下占8.68%,大专占25.00%, 本科占 52.08%, 硕士及以上占 12.15%</t>
  </si>
  <si>
    <t>20083038</t>
  </si>
  <si>
    <t>基本样本</t>
  </si>
  <si>
    <t>教育年限：0-3年205人；4-6年591人；7-9年1259人；10-12年497人；13-15年193人；16年以上72人</t>
  </si>
  <si>
    <t>20083052</t>
  </si>
  <si>
    <t>精神分裂症患者</t>
  </si>
  <si>
    <t>5</t>
  </si>
  <si>
    <t>平均教育程度为14.1±1.7年</t>
  </si>
  <si>
    <t>正常对照组</t>
  </si>
  <si>
    <t>平均教育程度15．3±2．2年</t>
  </si>
  <si>
    <t>20083072</t>
  </si>
  <si>
    <t>初中以上文化程度</t>
  </si>
  <si>
    <t>20083107</t>
  </si>
  <si>
    <t>文化水平小学及以上</t>
  </si>
  <si>
    <t>20182258</t>
  </si>
  <si>
    <t>学历大专以下28人，大专61人，本科 100 人，研究生及以上 12 人</t>
  </si>
  <si>
    <t>20182287</t>
  </si>
  <si>
    <t>大专及以下25.3%、本科57.3%、硕士及以
上17.4%</t>
  </si>
  <si>
    <t>20182289</t>
  </si>
  <si>
    <t>高中及以下:25；大专:57;本科:176;本科以上:34</t>
  </si>
  <si>
    <t>20183312</t>
  </si>
  <si>
    <t>受教育程度小学以下9名（1.8%），小学46名（9.1%），初中269名（53.6%），高中91名（18.1%），中专、职高、技校87名（17.3%），1名参与者未填写受教育程度</t>
  </si>
  <si>
    <t>20183321</t>
  </si>
  <si>
    <t>男性攻击行为组</t>
  </si>
  <si>
    <t>小学0人,初中5人，高中6人，大学4人，大学以上2人</t>
  </si>
  <si>
    <t>男性无攻击行为组</t>
  </si>
  <si>
    <t>小学7人,初中17人，高中17人，大学6人，大学以上3人</t>
  </si>
  <si>
    <t>女性攻击行为组</t>
  </si>
  <si>
    <t>小学8人，初中22人，高中24人，大学21人，大学以上6人</t>
  </si>
  <si>
    <t>女性无攻击行为组</t>
  </si>
  <si>
    <t>小学1人,初中7人，高中10人，大学2人，大学以上2人</t>
  </si>
  <si>
    <t>20183326</t>
  </si>
  <si>
    <t>3</t>
  </si>
  <si>
    <t>金钱概念组</t>
  </si>
  <si>
    <t>在职研究生</t>
  </si>
  <si>
    <t>控制组</t>
  </si>
  <si>
    <t>自然组</t>
  </si>
  <si>
    <t>20185138</t>
  </si>
  <si>
    <t>6.88%的父亲具有本科及以上学历，14.38%的父亲为高中学历，51.88%父亲为初中学历，26.88%的父亲学历低于初中</t>
  </si>
  <si>
    <t>5.00％的母亲具有本科及以上学历，5.63％的母亲为高中学历，43.75%的母亲为初中学历，45.63%的母亲学历低于初中</t>
  </si>
  <si>
    <t>20185141</t>
  </si>
  <si>
    <t>82.1%:本科及以上学历</t>
  </si>
  <si>
    <t>20185154</t>
  </si>
  <si>
    <t>受教育水平：文盲144人，小学250人，初中116人，高中及以上84人</t>
  </si>
  <si>
    <t>84?</t>
  </si>
  <si>
    <t>20185166</t>
  </si>
  <si>
    <t>小学及以下69人（34.80%），初中105人（53.00%），高中及以上24人（12.10%）；</t>
  </si>
  <si>
    <t>69?</t>
  </si>
  <si>
    <t>24?</t>
  </si>
  <si>
    <t>20185174</t>
  </si>
  <si>
    <t>大专及以下占35.6%，本科学历占54.7%，研究生及以上学历占5.3%</t>
  </si>
  <si>
    <t>20185191</t>
  </si>
  <si>
    <t>本科5.36%，硕士30.35，博士64.29%</t>
  </si>
  <si>
    <t>20213120</t>
  </si>
  <si>
    <t>大专及以下:684人，59.0％;本科及以上:475人,41.0％</t>
  </si>
  <si>
    <t>20082107</t>
  </si>
  <si>
    <t>病人组</t>
  </si>
  <si>
    <t>学历初中～本科</t>
  </si>
  <si>
    <t>对照组</t>
  </si>
  <si>
    <t>20082110</t>
  </si>
  <si>
    <t>30～45岁49人45岁以上37人；学历高中及高中以下42人大学104人研究生及研究生以上41人</t>
  </si>
  <si>
    <t>20082118</t>
  </si>
  <si>
    <t>小学54人中学或中专433人大学120人大学以上13人</t>
  </si>
  <si>
    <t>20083198</t>
  </si>
  <si>
    <t>中专55人，占34.7%，大专73人，占45.9%，本科25人，占15.9%，未填7人，占3.5%</t>
  </si>
  <si>
    <t>20181243</t>
  </si>
  <si>
    <t>本科及本科以下占72.4%,硕士以上占27.6%</t>
  </si>
  <si>
    <t>20181245</t>
  </si>
  <si>
    <t>多数调查者具有本科学历,占78.40%,研究生及以上占6.20%,大专占12.40%,中专及以下占2.90%</t>
  </si>
  <si>
    <t>20183098</t>
  </si>
  <si>
    <t>阳性症状组</t>
  </si>
  <si>
    <t>12.16±2.29年</t>
  </si>
  <si>
    <t>阴性症状组</t>
  </si>
  <si>
    <t>11.74±2.17年</t>
  </si>
  <si>
    <t>健康对照组</t>
  </si>
  <si>
    <t>13.20±2.47年</t>
  </si>
  <si>
    <t>20183099</t>
  </si>
  <si>
    <t>冰毒成瘾组</t>
  </si>
  <si>
    <t>10.25±3.07年</t>
  </si>
  <si>
    <t>11.94±4.13年</t>
  </si>
  <si>
    <t>20183101</t>
  </si>
  <si>
    <t>诈骗犯</t>
  </si>
  <si>
    <t>初中学历12人（38.7%），高中学历7人（22.6%），大学学历12人（38.7%）</t>
  </si>
  <si>
    <t>初中学历14人（46.7%），高中学历10人（33.3%），大学学历6人（20.0%）</t>
  </si>
  <si>
    <t>20184083</t>
  </si>
  <si>
    <t>男性</t>
  </si>
  <si>
    <t>男性被试受教育程度在初等教育及以下的占20.5%、中等教育的占55.8%、高等教育的占23.7%;女性被试受教育程度在初等教育及以下的占30.2%、中等教育的占53.1%、高等教育的占16.7%</t>
  </si>
  <si>
    <t>女性</t>
  </si>
  <si>
    <t>20211034</t>
  </si>
  <si>
    <t>下属</t>
  </si>
  <si>
    <t>在学历方面 , 本科最多 , 占 61%, 其余依次是大专占 22.8%, 研究生及以上占 8.2%, 中专及以下占 8% 。</t>
  </si>
  <si>
    <t>主管</t>
  </si>
  <si>
    <t>在学历方面 , 本科最多 , 占 65.8%, 其余依次是大专占 16.2%, 研究生及以上占 16.2%, 中专及以下仅占 1.8% 。</t>
  </si>
  <si>
    <t>20211064</t>
  </si>
  <si>
    <t>0</t>
  </si>
  <si>
    <t>最高学历涵盖高中或专科 (14.3%) 、大学本科 (76.8%) 和 硕博研究生 (8.9%)</t>
  </si>
  <si>
    <t>最高学历涵盖初中或以下 (0.6%) 、高中或专 科 (13.0%) 、大学本科 (79.3%) 和硕博研究生 (7.1%)</t>
  </si>
  <si>
    <t>2</t>
  </si>
  <si>
    <t>样本1</t>
  </si>
  <si>
    <t>最高学历涵盖初中 或以下 (0.3%) 、高中或专科 (11.4%) 、大学本科 (80.8%) 和硕博研究生 (7.6%)</t>
  </si>
  <si>
    <t>最高学历涵盖初中 或以下 (0.5%) 、高中或专科 (12.2%) 、大学本科 (80.5%) 和硕博研究生 (6.8%)</t>
  </si>
  <si>
    <t>样本2</t>
  </si>
  <si>
    <t>最高学 历涵盖初中或以下(3.3%)、高中或专科(25.4%)、大 学本科(67.1%)和硕博研究生(4.2%)</t>
  </si>
  <si>
    <t>20213199</t>
  </si>
  <si>
    <t>学历高中及以下 139 人（17.1%），专 科 123 人 （15.2%），本科473人（58.4%），研究生及以上75人 （9.3%）</t>
  </si>
  <si>
    <t>20213223</t>
  </si>
  <si>
    <t>52%为初中及以下 教育程度，42%为高中及以上教育程度，6%未报告 教育程度</t>
  </si>
  <si>
    <t>49%为初中及以下教育程度，46%为 高中及以上教育程度，5%未报告教育程度</t>
  </si>
  <si>
    <t>20213239</t>
  </si>
  <si>
    <t>大专及以下学历79名（23.2％）,本科及以 上学历261名（76.8％）</t>
  </si>
  <si>
    <t>20213253</t>
  </si>
  <si>
    <t>父亲受教育程度：初中及以下占 13.2%，高中或中专占15.3%，大专或本科占57.6% 硕士以上占13.9%。母亲受教育程度：初中及以下 占 13.4%，高中或中专占 22.1%，大专或本科占 54.5% 硕士以上占10%。</t>
  </si>
  <si>
    <t>20082171</t>
  </si>
  <si>
    <t>大专及以下9．8％教育背景本科69．6％研究生20．6％</t>
  </si>
  <si>
    <t>20084057</t>
  </si>
  <si>
    <t>独生子女组</t>
  </si>
  <si>
    <t>中专5，大专6，本科89</t>
  </si>
  <si>
    <t>非独生子女组</t>
  </si>
  <si>
    <t>中专4，大专12，本科82</t>
  </si>
  <si>
    <t>20182035</t>
  </si>
  <si>
    <t>海洛因戒断者组</t>
  </si>
  <si>
    <t>小学1(3.7%);初中3(11.1%);高中/职高/中专/技校13(48.1%);大专7(25.9%);大学本科3(11.1%)</t>
  </si>
  <si>
    <t>正常组</t>
  </si>
  <si>
    <t>小学8（29.6%);初中9(33.3%);高中/职高/中专/技校4(14.8%);大专4(14.8%%);大学本科2(7.4%)</t>
  </si>
  <si>
    <t>20182036</t>
  </si>
  <si>
    <t>训练组</t>
  </si>
  <si>
    <t>高中及以上88.9%</t>
  </si>
  <si>
    <t>高中及以上94.4%</t>
  </si>
  <si>
    <t>20183107</t>
  </si>
  <si>
    <t>教育程度为小学以上</t>
  </si>
  <si>
    <t>20183131</t>
  </si>
  <si>
    <t>主动性社区治疗组</t>
  </si>
  <si>
    <t>均为小学文化程度以上，其中小学2;初中12;高中14;大学8;大学以上7</t>
  </si>
  <si>
    <t>均为小学文化程度以上，小学7;初中19;高中23;大学17;大学以上5</t>
  </si>
  <si>
    <t>20183137</t>
  </si>
  <si>
    <t>Psychiatrist</t>
  </si>
  <si>
    <t>平均受教育年限17.73</t>
  </si>
  <si>
    <t>20183142</t>
  </si>
  <si>
    <t>BPD倾向组</t>
  </si>
  <si>
    <t>小学2(2.6%);中学30(38.5%);大学及以上46(58.9%)</t>
  </si>
  <si>
    <t>30?</t>
  </si>
  <si>
    <t>非BPD倾向组</t>
  </si>
  <si>
    <t>小学2(1.6%);中学69(53.9%);大学及以上57(44.5%)</t>
  </si>
  <si>
    <t>20183143</t>
  </si>
  <si>
    <t>平均受教育年限为9．81年(s=2．77);其中小学40(16．7％);初中89(37．2％);高中73(30．5％);大学及以上37(15．5％)</t>
  </si>
  <si>
    <t>20184101</t>
  </si>
  <si>
    <t>父亲中拥有大专及以下学历的16人，大学本科学历的40人，研究生学历的22人，3人未报告受教育情况;母亲中拥有大专及以下学历的61人，大学本科学历的144人，研究生学历的51人，2人未报告受教育情况。</t>
  </si>
  <si>
    <t>20184130</t>
  </si>
  <si>
    <t>①高中及以下(父7%,母6.6%);②大学(本/专科)(父68.9%,母74.5%);③研究生及以上(父24.1%,母18.9%)</t>
  </si>
  <si>
    <t>20212029</t>
  </si>
  <si>
    <t>学历多数为大专及以上,占93.35%</t>
  </si>
  <si>
    <t>20212031</t>
  </si>
  <si>
    <t>丈夫</t>
  </si>
  <si>
    <t>妻子是初中学历的占0.9%；高中学历的丈夫占1.9%,妻子占2.8%,大专学历的丈夫占11.3%,妻子占4.7%；本科学历的丈夫占36.8%,妻子占36.8%；研究生及其以上学历的丈夫占50%,妻子占52.8%(有两名被试的学历不祥)</t>
  </si>
  <si>
    <t>妻子</t>
  </si>
  <si>
    <t>20212062</t>
  </si>
  <si>
    <t>高中及以下13人(10.16%),大学87人(67.97%),研究生及以上28人(21.88%)</t>
  </si>
  <si>
    <t>2a</t>
  </si>
  <si>
    <t>高中及以下6人(5.00%),大学79人(65.83%),研究生及以上35人(29.17%)</t>
  </si>
  <si>
    <t>2b</t>
  </si>
  <si>
    <t>被试的教育程度如下：高中及以下7人（6.20%），大学86人（76.11%），研究生及以上20人（17.70%）。</t>
  </si>
  <si>
    <t>高中及以下10人(8.85%),大学83人(73.45%),研究生及以上20人(17.70%)</t>
  </si>
  <si>
    <t>20213302</t>
  </si>
  <si>
    <t>小学2（0.36），初中10（1.80），高中59（10.59），大学290（52.06），研究生196（35.19），接受教育5~37年,平均16.78±3.72年</t>
  </si>
  <si>
    <t>20215102</t>
  </si>
  <si>
    <t>父母组</t>
  </si>
  <si>
    <t>41.37;38.88</t>
  </si>
  <si>
    <t>4.74;3.87</t>
  </si>
  <si>
    <t>父亲受教育水平在核心家庭中是3.70（1.37）在三代家庭中是3.90（1.26）母亲受教育水平在核心家庭中是3.51（1.26）在三代家庭中是3.77（1.08）</t>
  </si>
  <si>
    <t>20082283</t>
  </si>
  <si>
    <t>大学文化程度</t>
  </si>
  <si>
    <t>20181005</t>
  </si>
  <si>
    <t>年轻组</t>
  </si>
  <si>
    <t>老年被试为高中(中专)或以上学历, 与年轻被试的文化程度较为匹配</t>
  </si>
  <si>
    <t>老年组</t>
  </si>
  <si>
    <t>20182159</t>
  </si>
  <si>
    <t>海洛因戒治组</t>
  </si>
  <si>
    <t>平均受教育年限10.71</t>
  </si>
  <si>
    <t>平均受教育年限10.95</t>
  </si>
  <si>
    <t>20183154</t>
  </si>
  <si>
    <t>大专31人，本科228人，硕士及以上67人。</t>
  </si>
  <si>
    <t>20183157</t>
  </si>
  <si>
    <t>159例(57．40％1受教育程度为高中以下，118例(42．60％)为高中以上。</t>
  </si>
  <si>
    <t>20183188</t>
  </si>
  <si>
    <t>样本中大学专科学历(154人)和大学本科以上教育程度(170人)的员工比例较高</t>
  </si>
  <si>
    <t>20183192</t>
  </si>
  <si>
    <t>初中以下11人，高中及中专18人，大专以上51人</t>
  </si>
  <si>
    <t>20183198</t>
  </si>
  <si>
    <t>稳定型心绞痛患者</t>
  </si>
  <si>
    <t>高中：36.7%；大学:41.7%;研究生:21.7%</t>
  </si>
  <si>
    <t>不稳定型心绞痛患者</t>
  </si>
  <si>
    <t>高中：35.6%；大学:38.0%;研究生:22.2%</t>
  </si>
  <si>
    <t>健康人</t>
  </si>
  <si>
    <t>高中：36.0%；大学:38.0%;研究生:26.0%</t>
  </si>
  <si>
    <t>20212149</t>
  </si>
  <si>
    <t>在学历方面，高中或大专 96 人，占 37.209%；本科 156 人，占 60.465%，研究生或以上 7 人，占 2.713%</t>
  </si>
  <si>
    <t>20082337</t>
  </si>
  <si>
    <t>为了分析的方便, 我 们将这些因素分为人口学因素( 性别 、年龄 、婚姻状 况、学历) 和社会学因素( 职业、收入状况、打工次数 、 打工时间) 两大类。分</t>
  </si>
  <si>
    <t>20082348</t>
  </si>
  <si>
    <t>61．6％有本科及以上学历</t>
  </si>
  <si>
    <t>20181027</t>
  </si>
  <si>
    <t>年轻人</t>
  </si>
  <si>
    <t>平均受教育16.27±1.74年</t>
  </si>
  <si>
    <t>老年人</t>
  </si>
  <si>
    <t>平均受教育14.63±2.16年</t>
  </si>
  <si>
    <t>平均受教育16.07±1.29年</t>
  </si>
  <si>
    <t>平均受教育14.20±2.40年</t>
  </si>
  <si>
    <t>20182201</t>
  </si>
  <si>
    <t>研究样本为北京一所高校的在职研究生项目学 员。</t>
  </si>
  <si>
    <t>20182202</t>
  </si>
  <si>
    <t>员工学历分布为：大专 及以下 17 人，本科 71 人，硕士 279 人，博士 42 人；</t>
  </si>
  <si>
    <t>20183236</t>
  </si>
  <si>
    <t>高中及以下学历者占 5%（28），大专学历者占 16.4%（92），本科学历者占 68.6%（384），硕士及以上学历者占10%（56）；工龄5 年以下者占 27.7（155），工龄 5 到 10 年者占 40.7% （228），工龄10年以上者31.6%（177）；基层员工27% （151），基层管理者占 35.9%（201），中层管理者占 31.2%（175），高层管理者占5.9（33）；</t>
  </si>
  <si>
    <t>20183247</t>
  </si>
  <si>
    <t>大多数被试拥有高中（30.70%）或本科 68.84%）学历</t>
  </si>
  <si>
    <t>20212151</t>
  </si>
  <si>
    <t>本科 学历及以上占 92.60%</t>
  </si>
  <si>
    <t>20212155</t>
  </si>
  <si>
    <t>海洛因戒断组</t>
  </si>
  <si>
    <t>受教育年限8.69 ± 3.01年</t>
  </si>
  <si>
    <t>正常男性</t>
  </si>
  <si>
    <t>受教育年限7.82 ± 1.98 年</t>
  </si>
  <si>
    <t>20212165</t>
  </si>
  <si>
    <t>患者组</t>
  </si>
  <si>
    <t>教育水平8.53年</t>
  </si>
  <si>
    <t>教育水平9.31年</t>
  </si>
  <si>
    <t>教育水平8.9年</t>
  </si>
  <si>
    <t>20212197</t>
  </si>
  <si>
    <t>教育程度为小学毕业的 34 人，初中毕业 148 人，高中毕业 605 人，大专毕 业 1715 人，大学本科 1486 人，研究生及以上 211 人</t>
  </si>
  <si>
    <t>20215042</t>
  </si>
  <si>
    <t>教育程度分布情况为：初中及以下被试 为 360 名，占 64.75%，高中（包括中专）被试为 163 名，占 29.32%，本科（包括大专）及以上被试 为 33 名，占 5.93%。</t>
  </si>
  <si>
    <t>教育程度分 布情况为：初中及以下被试为 350 名，占 65.30%， 高中（包括中专）被试为 161 名，占 30.04%，本 科（包括大专）及以上被试为 25 名，占 4.66%</t>
  </si>
  <si>
    <t>20081008</t>
  </si>
  <si>
    <t>本研究在设计上是追踪初入职的大学毕业生</t>
  </si>
  <si>
    <t>20081010</t>
  </si>
  <si>
    <t>学历分布为：高中及以下为30．7％，专科28．6％，本科33．3％，研究生及以上7．4％</t>
  </si>
  <si>
    <t>20081024</t>
  </si>
  <si>
    <t>被试是国内某大学160名本科生和154名在职工商管理硕士及其他在职研究生。</t>
  </si>
  <si>
    <t>研究对象是50名MBA学生,他们对实验中所涉及的商品平时生活中都会接触到,参与者被随机分为两组,两个版本分别有25人看到。</t>
  </si>
  <si>
    <t>20081029</t>
  </si>
  <si>
    <t>口吃组</t>
  </si>
  <si>
    <t>口吃组被试的平均受教育年数为14.7年</t>
  </si>
  <si>
    <t>非口吃组</t>
  </si>
  <si>
    <t>对照组被试的平均受教育年数为14.9年</t>
  </si>
  <si>
    <t>20081037</t>
  </si>
  <si>
    <t>本研究的被试是某大学商学院参加“组织行为学”课程的 MBA 学生</t>
  </si>
  <si>
    <t>本研究的参加者为商学院学习《组织行为学》课程的 MBA 学生</t>
  </si>
  <si>
    <t>20083033</t>
  </si>
  <si>
    <t>初中文化15人，高中文化以上8人。</t>
  </si>
  <si>
    <t>20182205</t>
  </si>
  <si>
    <t>平均受教育年限为15.73年（SD=2.51岁）</t>
  </si>
  <si>
    <t>20182206</t>
  </si>
  <si>
    <t>本科学历的最多，占65.10%，大专占16.10%，研究生及以上占14.50%，高中及以下占2.00%</t>
  </si>
  <si>
    <t>20182216</t>
  </si>
  <si>
    <t>剔除学历为本科及以上的问卷，农民工问卷为676份</t>
  </si>
  <si>
    <t>20182218</t>
  </si>
  <si>
    <t>高中以下:21人;专科:66人;本科:189人;硕士及以上:23人</t>
  </si>
  <si>
    <t>20182231</t>
  </si>
  <si>
    <t>教育程度以本科（56.9%）为主</t>
  </si>
  <si>
    <t>20183257</t>
  </si>
  <si>
    <t>高分组</t>
  </si>
  <si>
    <t>小学以下1人(4%)小学8人(32%)初中14人(56%)高中以上2人(8%)</t>
  </si>
  <si>
    <t>2?</t>
  </si>
  <si>
    <t>低分组</t>
  </si>
  <si>
    <t>小学以下1人(4%)小学12人(48%)初中10人(40%)高中以上2人(8%)</t>
  </si>
  <si>
    <t>20183264</t>
  </si>
  <si>
    <t>甲卡西酮组</t>
  </si>
  <si>
    <t>受教育年限:9.73±2.27</t>
  </si>
  <si>
    <t>冰毒组</t>
  </si>
  <si>
    <t>受教育年限:10.05±2.73</t>
  </si>
  <si>
    <t>后勤工作人员</t>
  </si>
  <si>
    <t>受教育年限:9.70±2.14</t>
  </si>
  <si>
    <t>20183265</t>
  </si>
  <si>
    <t>通过北京大学心理学系的在职研究生，结合方便取样和滚雪球抽样招募被试</t>
  </si>
  <si>
    <t>20183285</t>
  </si>
  <si>
    <t>初中及以下:41.8;高中及中专:38.3;大专及以上:19.9</t>
  </si>
  <si>
    <t>20213041</t>
  </si>
  <si>
    <t>小学或以下25例，初中22例，高中/中专32例，大专27例，大学及以上29例</t>
  </si>
  <si>
    <t>25?</t>
  </si>
  <si>
    <t>20082023</t>
  </si>
  <si>
    <t>学历包括“专科以下”、“本科”以及“研究生以上”本科人数占到总人数的53∙5％。</t>
  </si>
  <si>
    <t>20083109</t>
  </si>
  <si>
    <t>文化程度大专61人,本科79人,本科以上50人</t>
  </si>
  <si>
    <t>20083110</t>
  </si>
  <si>
    <t>具有小学以上文化程度</t>
  </si>
  <si>
    <t>20083114</t>
  </si>
  <si>
    <t>高中、中专及以下占11.87%,大专占22.83%,本科占52.05%,硕士及以上占10.05%</t>
  </si>
  <si>
    <t>20083116</t>
  </si>
  <si>
    <t>语义加工组</t>
  </si>
  <si>
    <t>平均受教育年限12.96±2.84年</t>
  </si>
  <si>
    <t>自我参照组</t>
  </si>
  <si>
    <t>平均受教育年限12.71±2.54年</t>
  </si>
  <si>
    <t>20083128</t>
  </si>
  <si>
    <t>实验组</t>
  </si>
  <si>
    <t>文化程度初中13人,高中9人,中专4人,大专2人</t>
  </si>
  <si>
    <t>文化程度初中18人,高中8人,中专5人,大专2人</t>
  </si>
  <si>
    <t>20083173</t>
  </si>
  <si>
    <t>表1</t>
  </si>
  <si>
    <t>20181202</t>
  </si>
  <si>
    <t>流动家庭母亲</t>
  </si>
  <si>
    <t>父母受教育水平由母亲报告：1=初中及以下;2=高中;3=大专;4=本科;5=硕士及以上。流动家庭中,82.6%的母亲完成了高中教育,50%达到大专水平,没有人达到硕士或以上水平;80.4%的父亲完成了高中教育,58.7%达到大专水平,达到硕士及以上水平的3人(6.5%)。城市家庭中,除了父母各一人外,其余全部完成高中教育;93.4%的母亲达到大专水平,40.8%达到硕士及以上水平;97.4%的父亲达到大专水平,42.1%达到硕士及以上水平。两类家庭中父、母受教育程度均存在显著差异,t(120)=6.91,p&lt;0.01,t(120)=5.82,p&lt;0.01,均为流动家庭低于城市家庭。</t>
  </si>
  <si>
    <t>城市家庭母亲</t>
  </si>
  <si>
    <t>20181207</t>
  </si>
  <si>
    <t>学历为初中及以下的被试132名,高中学历的被试87名,大专及以上学历的被试133名</t>
  </si>
  <si>
    <t>20181208</t>
  </si>
  <si>
    <t>样本1员工</t>
  </si>
  <si>
    <t>本科及以上学历为27.2%</t>
  </si>
  <si>
    <t>样本2员工</t>
  </si>
  <si>
    <t>本科及以上学历为27.0%</t>
  </si>
  <si>
    <t>20181209</t>
  </si>
  <si>
    <t>员工</t>
  </si>
  <si>
    <t>全部接
受过大专以上教育</t>
  </si>
  <si>
    <t>直接上司</t>
  </si>
  <si>
    <t>20181210</t>
  </si>
  <si>
    <t>按照受教育程度划分,本科及以上占58.8%;</t>
  </si>
  <si>
    <t>管理者</t>
  </si>
  <si>
    <t>按照受教育程度划分,本科及以上占86.6%;</t>
  </si>
  <si>
    <t>20181212</t>
  </si>
  <si>
    <t>领导</t>
  </si>
  <si>
    <t>研究生及以上学历占45.50%</t>
  </si>
  <si>
    <t>20181213</t>
  </si>
  <si>
    <t>对下属数据的描述性统计结果显示：男性占52.5%;21~40岁占95.7%;以大学专科与本科学历为主,占84.4%。而在团队领导中,有79.2%为男性;90.3%年龄介于21~40岁之间;91.6%拥有大学专科或本科学历</t>
  </si>
  <si>
    <t>20181220</t>
  </si>
  <si>
    <t>在职硕士</t>
  </si>
  <si>
    <t>20181225</t>
  </si>
  <si>
    <t>接受过专科及以上教育的人占70.3%</t>
  </si>
  <si>
    <t>接受过专科及以上教育的人占69.2%</t>
  </si>
  <si>
    <t>20181228</t>
  </si>
  <si>
    <t>大部分被试(54.33%)属于初中及以下学历;另一部分被试(35.09%)拥有高中学历或者上过技校;少部分人(8.30%)上过大专院校;仅有极少数人(2.26%)受过本科教育;没有教育程度在硕士及以上的被试</t>
  </si>
  <si>
    <t>20181235</t>
  </si>
  <si>
    <t>平均受教育年数为15.12年(SD=1.54)</t>
  </si>
  <si>
    <t>20182299</t>
  </si>
  <si>
    <t>56.9%有大学本科及以上学历</t>
  </si>
  <si>
    <t>20183001</t>
  </si>
  <si>
    <t>抑郁自杀意念组</t>
  </si>
  <si>
    <t>受教育水平(年）:M=13.67,SD=2.90</t>
  </si>
  <si>
    <t>受教育水平(年）:M=13.10,SD=1.63</t>
  </si>
  <si>
    <t>20183013</t>
  </si>
  <si>
    <t>从受教育程度来看，初中以下学历的有269人，中等职业学校或高中学历的有82人，大学学历的有7人</t>
  </si>
  <si>
    <t>20183023</t>
  </si>
  <si>
    <t>父母受教育水平是由被试报告自己和配偶的受教育水平，原始题目为6点计分，分别是“小学及以下”、“初中”、“高中/中专/技校”、“大专”、“本科”、“研究生及以上”。选取父、母亲两人中教育程度较高的一方作为受教育水平指标。</t>
  </si>
  <si>
    <t>20184041</t>
  </si>
  <si>
    <t>母亲受教育水平为“高中或中专”水平及以下者占37.2%，“大学专科”水平者占27.4%，“大学本科”水平及以上者占34.2%。</t>
  </si>
  <si>
    <t>20185202</t>
  </si>
  <si>
    <t>从受教育程度来看，高中或中专学历13人，专科学历45人，本科学历104人，研究生学历14人</t>
  </si>
  <si>
    <t>20213165</t>
  </si>
  <si>
    <t>教育情况为大专及以下55人，大学本科316人，硕士及以上166人</t>
  </si>
  <si>
    <t>20213192</t>
  </si>
  <si>
    <t>抑郁病人组男性</t>
  </si>
  <si>
    <t>受教育程度从初中到硕士以上</t>
  </si>
  <si>
    <t>抑郁病人组女性</t>
  </si>
  <si>
    <t>正常对照组男性</t>
  </si>
  <si>
    <t>正常对照组女性</t>
  </si>
  <si>
    <t>20183039</t>
  </si>
  <si>
    <t>其中硕士生15人，本科生46人，大专学历11人。</t>
  </si>
  <si>
    <t>研究生36人，本 科生86人，大专学历29人</t>
  </si>
  <si>
    <t>20211015</t>
  </si>
  <si>
    <t>1a</t>
  </si>
  <si>
    <t>学历分布情况为：大专或以下学历占比54.94%,本科学历占比39.56%,研究生或以上学历占比5.50%</t>
  </si>
  <si>
    <t>1b</t>
  </si>
  <si>
    <t>大专或以下学历 占比 36.82%, 本科学历占比 53.18%, 研究生或以 上学历占比10%</t>
  </si>
  <si>
    <t>领导者样本</t>
  </si>
  <si>
    <t>领导者样本中, 男性占49.10%, 女性占50.90%, 平 均年龄为33.52岁(SD = 7.63), 高中或大专学历占 14.50%, 大学本科学历占 64.70%, 研究生学历占 20.80%。在员工样本中, 男性占 40.50%, 女性占 59.50%, 平均年龄为 25.47 岁(SD = 5.29), 高中或 大专学历占 25.40%, 大学本科学历 72.30%, 研究 生学历占 2.30%, 平均上下级共事时间为 11.58 个 月(SD = 13.69)。</t>
  </si>
  <si>
    <t>员工样本</t>
  </si>
  <si>
    <t>员工沉默的结构探讨</t>
  </si>
  <si>
    <t>928</t>
  </si>
  <si>
    <t>调查对象包括上海师范大学夜大学在职攻读本、专科学生、上海大人人在职攻读研究生学生、上海交通大学在职 MBA</t>
  </si>
  <si>
    <t>405</t>
  </si>
  <si>
    <t>21.63</t>
  </si>
  <si>
    <t>3.18</t>
  </si>
  <si>
    <t>高中以下:65;大专及本科：298;研究生及以上：42</t>
  </si>
  <si>
    <t>幼儿母亲</t>
  </si>
  <si>
    <t>251</t>
  </si>
  <si>
    <t>33.96</t>
  </si>
  <si>
    <t>92.7% 的父亲和90.7% 的母亲受过大专及以上教育。</t>
  </si>
  <si>
    <t>领导者</t>
  </si>
  <si>
    <t>194</t>
  </si>
  <si>
    <t>33.1</t>
  </si>
  <si>
    <t>平均受教育时长 (自小学算起) 14.83年</t>
  </si>
  <si>
    <t>追随者</t>
  </si>
  <si>
    <t>28.1</t>
  </si>
  <si>
    <t>平均受教育时长 (自小学算起) 13.7年</t>
  </si>
  <si>
    <t>合并药物治疗组</t>
  </si>
  <si>
    <t>42</t>
  </si>
  <si>
    <t>32.3</t>
  </si>
  <si>
    <t>3.6</t>
  </si>
  <si>
    <t>受教育程 度：初中8例，高中26例，大专及以上8例</t>
  </si>
  <si>
    <t>常规治疗组</t>
  </si>
  <si>
    <t>39</t>
  </si>
  <si>
    <t>31.6</t>
  </si>
  <si>
    <t>3.4</t>
  </si>
  <si>
    <t>受教育程度：初中6例，高中25例，大 专及以上8例</t>
  </si>
  <si>
    <t>43</t>
  </si>
  <si>
    <t>56.01</t>
  </si>
  <si>
    <t>14.54</t>
  </si>
  <si>
    <t>小学及以上:25人；初中及以上:18人</t>
  </si>
  <si>
    <t>57.48</t>
  </si>
  <si>
    <t>11.93</t>
  </si>
  <si>
    <t>小学及以上:22人；初中及以上:20人</t>
  </si>
  <si>
    <t>青少年罪犯</t>
  </si>
  <si>
    <t>142</t>
  </si>
  <si>
    <t>17.3</t>
  </si>
  <si>
    <t>1.3</t>
  </si>
  <si>
    <t>平均受教育年限7.6±1.89年</t>
  </si>
  <si>
    <t>病例组</t>
  </si>
  <si>
    <t>48</t>
  </si>
  <si>
    <t>48.2</t>
  </si>
  <si>
    <t>7.54</t>
  </si>
  <si>
    <t>平均受教育年限12.41±3.52年</t>
  </si>
  <si>
    <t>50</t>
  </si>
  <si>
    <t>47.51</t>
  </si>
  <si>
    <t>7.12</t>
  </si>
  <si>
    <t>平均受教育年限 12.58±3.82年</t>
  </si>
  <si>
    <t>85</t>
  </si>
  <si>
    <t>高中及以下 57 人， 大专及以上 28 人</t>
  </si>
  <si>
    <t>大专及以上</t>
  </si>
  <si>
    <t>大专以下</t>
  </si>
  <si>
    <t>高中及以上</t>
  </si>
  <si>
    <t>高中以下</t>
  </si>
  <si>
    <t>M教育年限</t>
  </si>
  <si>
    <t>SD教育年限</t>
  </si>
  <si>
    <t>Note</t>
  </si>
  <si>
    <t>20182268</t>
  </si>
  <si>
    <t>最终施测</t>
  </si>
  <si>
    <t>小学823人（四年级449人、五年级374
人）；初中1386人（六年级395人、七年级362人、
八年级296人、九年级333人）；高中920人（高
一309人、高二317人、高三294人）；大学2702
人（大一405人、大二374人、大三386人、大四
389人，专一390人、专二378人、专三380人）。</t>
  </si>
  <si>
    <t>No</t>
  </si>
  <si>
    <t>20183311</t>
  </si>
  <si>
    <t>高中生;830;初中生:594;大学生:632</t>
  </si>
  <si>
    <t>受教育程度小学以下9名
（1.8%），小学46名（9.1%），初中269名（53.6%），高
中91名（18.1%），中专、职高、技校87名（17.3%），1
名参与者未填写受教育程度</t>
  </si>
  <si>
    <t>20213116</t>
  </si>
  <si>
    <t>初中生202人（33.4%），高中生157人（26.0%），大学生245人（40.6%</t>
  </si>
  <si>
    <t>在校高中生和大学本科生</t>
  </si>
  <si>
    <t>20213252</t>
  </si>
  <si>
    <t>随机选取河南省、山东省、江西省、黑龙江省、天津市共8所大学的大学生和河南省4所中学的中学生为研究对象</t>
  </si>
  <si>
    <t>20213254</t>
  </si>
  <si>
    <t>大学生404名。高中生341名</t>
  </si>
  <si>
    <t>20082232</t>
  </si>
  <si>
    <t>年级分布从初一至大四其中中 学生占47．0％大学生占53．0％男性占55．4％女性占44． 6％。</t>
  </si>
  <si>
    <t>20213040</t>
  </si>
  <si>
    <t>抽取河南省、黑龙江省、江西省、山东省范围内的大学生和中学生为被试，进行两次测查</t>
  </si>
  <si>
    <t>小学63人，中学216人，大学240人，硕士及以上26人。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</si>
</sst>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_);[Red]\(0.0000\)"/>
    <numFmt numFmtId="178" formatCode="0.00_);[Red]\(0.00\)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176" fontId="0" fillId="0" borderId="0" xfId="0" applyNumberFormat="1"/>
    <xf numFmtId="177" fontId="0" fillId="0" borderId="0" xfId="0" applyNumberFormat="1"/>
    <xf numFmtId="176" fontId="1" fillId="0" borderId="0" xfId="0" applyNumberFormat="1" applyFont="1" applyAlignment="1">
      <alignment horizontal="center"/>
    </xf>
    <xf numFmtId="176" fontId="0" fillId="2" borderId="0" xfId="0" applyNumberFormat="1" applyFill="1"/>
    <xf numFmtId="176" fontId="0" fillId="3" borderId="0" xfId="0" applyNumberFormat="1" applyFill="1"/>
    <xf numFmtId="176" fontId="0" fillId="4" borderId="0" xfId="0" applyNumberFormat="1" applyFill="1"/>
    <xf numFmtId="177" fontId="1" fillId="0" borderId="0" xfId="0" applyNumberFormat="1" applyFont="1" applyAlignment="1">
      <alignment horizontal="center"/>
    </xf>
    <xf numFmtId="177" fontId="0" fillId="2" borderId="0" xfId="0" applyNumberFormat="1" applyFill="1"/>
    <xf numFmtId="177" fontId="0" fillId="3" borderId="0" xfId="0" applyNumberFormat="1" applyFill="1"/>
    <xf numFmtId="177" fontId="0" fillId="4" borderId="0" xfId="0" applyNumberFormat="1" applyFill="1"/>
    <xf numFmtId="0" fontId="2" fillId="2" borderId="0" xfId="0" applyFont="1" applyFill="1"/>
    <xf numFmtId="0" fontId="0" fillId="4" borderId="0" xfId="0" applyFill="1" applyAlignment="1">
      <alignment horizontal="left"/>
    </xf>
    <xf numFmtId="177" fontId="2" fillId="4" borderId="0" xfId="0" applyNumberFormat="1" applyFont="1" applyFill="1"/>
    <xf numFmtId="178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0" fillId="2" borderId="0" xfId="0" applyFill="1" applyAlignment="1">
      <alignment wrapText="1"/>
    </xf>
    <xf numFmtId="0" fontId="0" fillId="0" borderId="0" xfId="0" applyFont="1" applyFill="1" applyAlignment="1">
      <alignment horizontal="left"/>
    </xf>
    <xf numFmtId="0" fontId="0" fillId="0" borderId="0" xfId="0" applyFont="1" applyFill="1" applyAlignment="1">
      <alignment horizontal="right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0"/>
  <sheetViews>
    <sheetView tabSelected="1" workbookViewId="0">
      <pane xSplit="2" ySplit="1" topLeftCell="C183" activePane="bottomRight" state="frozen"/>
      <selection/>
      <selection pane="topRight"/>
      <selection pane="bottomLeft"/>
      <selection pane="bottomRight" activeCell="E201" sqref="E201"/>
    </sheetView>
  </sheetViews>
  <sheetFormatPr defaultColWidth="9" defaultRowHeight="22.8" customHeight="1"/>
  <cols>
    <col min="1" max="1" width="20.5555555555556" customWidth="1"/>
    <col min="2" max="2" width="19.7777777777778" customWidth="1"/>
    <col min="3" max="3" width="18.7777777777778" customWidth="1"/>
    <col min="4" max="4" width="21" customWidth="1"/>
    <col min="5" max="5" width="16.4444444444444" customWidth="1"/>
    <col min="6" max="6" width="17.2222222222222" customWidth="1"/>
    <col min="7" max="8" width="17.2222222222222" style="5" customWidth="1"/>
    <col min="9" max="9" width="19.8888888888889" style="19" customWidth="1"/>
    <col min="10" max="16" width="17.2222222222222" style="6" customWidth="1"/>
    <col min="17" max="20" width="21.7777777777778" customWidth="1"/>
  </cols>
  <sheetData>
    <row r="1" s="1" customFormat="1" customHeigh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6</v>
      </c>
      <c r="H1" s="7" t="s">
        <v>7</v>
      </c>
      <c r="I1" s="20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="2" customFormat="1" customHeight="1" spans="1:16">
      <c r="A2" s="2" t="s">
        <v>20</v>
      </c>
      <c r="B2" s="2" t="s">
        <v>21</v>
      </c>
      <c r="C2" s="2" t="s">
        <v>22</v>
      </c>
      <c r="D2" s="2">
        <v>115</v>
      </c>
      <c r="E2" s="2" t="s">
        <v>23</v>
      </c>
      <c r="F2" s="2" t="s">
        <v>21</v>
      </c>
      <c r="G2" s="8">
        <v>31.4</v>
      </c>
      <c r="H2" s="8">
        <v>3.1</v>
      </c>
      <c r="I2" s="21" t="s">
        <v>24</v>
      </c>
      <c r="J2" s="12">
        <v>0.763</v>
      </c>
      <c r="K2" s="12">
        <v>0.237</v>
      </c>
      <c r="L2" s="12"/>
      <c r="M2" s="12"/>
      <c r="N2" s="12"/>
      <c r="O2" s="12"/>
      <c r="P2" s="12"/>
    </row>
    <row r="3" s="2" customFormat="1" customHeight="1" spans="1:16">
      <c r="A3" s="2" t="s">
        <v>20</v>
      </c>
      <c r="B3" s="2" t="s">
        <v>21</v>
      </c>
      <c r="C3" s="2" t="s">
        <v>25</v>
      </c>
      <c r="D3" s="2">
        <v>113</v>
      </c>
      <c r="E3" s="2" t="s">
        <v>23</v>
      </c>
      <c r="F3" s="2" t="s">
        <v>21</v>
      </c>
      <c r="G3" s="8">
        <v>33.7</v>
      </c>
      <c r="H3" s="8">
        <v>3.4</v>
      </c>
      <c r="I3" s="21" t="s">
        <v>26</v>
      </c>
      <c r="J3" s="12">
        <v>0.797</v>
      </c>
      <c r="K3" s="12">
        <v>0.203</v>
      </c>
      <c r="L3" s="12"/>
      <c r="M3" s="12"/>
      <c r="N3" s="12"/>
      <c r="O3" s="12"/>
      <c r="P3" s="12"/>
    </row>
    <row r="4" s="2" customFormat="1" customHeight="1" spans="1:16">
      <c r="A4" s="2" t="s">
        <v>27</v>
      </c>
      <c r="B4" s="2" t="s">
        <v>21</v>
      </c>
      <c r="C4" s="2" t="s">
        <v>28</v>
      </c>
      <c r="D4" s="2">
        <v>219</v>
      </c>
      <c r="E4" s="2" t="s">
        <v>23</v>
      </c>
      <c r="F4" s="2" t="s">
        <v>21</v>
      </c>
      <c r="G4" s="8">
        <v>29.06</v>
      </c>
      <c r="H4" s="8"/>
      <c r="I4" s="21" t="s">
        <v>29</v>
      </c>
      <c r="J4" s="12">
        <v>0.8493</v>
      </c>
      <c r="K4" s="12">
        <v>0.1187</v>
      </c>
      <c r="L4" s="12"/>
      <c r="M4" s="12"/>
      <c r="N4" s="12"/>
      <c r="O4" s="12"/>
      <c r="P4" s="12"/>
    </row>
    <row r="5" s="2" customFormat="1" customHeight="1" spans="1:16">
      <c r="A5" s="2" t="s">
        <v>27</v>
      </c>
      <c r="B5" s="2" t="s">
        <v>21</v>
      </c>
      <c r="C5" s="2" t="s">
        <v>30</v>
      </c>
      <c r="D5" s="2">
        <v>288</v>
      </c>
      <c r="E5" s="2" t="s">
        <v>23</v>
      </c>
      <c r="F5" s="2" t="s">
        <v>21</v>
      </c>
      <c r="G5" s="8">
        <v>31.02</v>
      </c>
      <c r="H5" s="8"/>
      <c r="I5" s="21" t="s">
        <v>31</v>
      </c>
      <c r="J5" s="12">
        <v>0.8923</v>
      </c>
      <c r="K5" s="12">
        <v>0.0868</v>
      </c>
      <c r="L5" s="12"/>
      <c r="M5" s="12"/>
      <c r="N5" s="12"/>
      <c r="O5" s="12"/>
      <c r="P5" s="12"/>
    </row>
    <row r="6" s="2" customFormat="1" customHeight="1" spans="1:16">
      <c r="A6" s="2" t="s">
        <v>32</v>
      </c>
      <c r="B6" s="2" t="s">
        <v>21</v>
      </c>
      <c r="C6" s="2" t="s">
        <v>33</v>
      </c>
      <c r="D6" s="2">
        <v>2815</v>
      </c>
      <c r="E6" s="2" t="s">
        <v>23</v>
      </c>
      <c r="F6" s="2" t="s">
        <v>21</v>
      </c>
      <c r="G6" s="8"/>
      <c r="H6" s="8"/>
      <c r="I6" s="21" t="s">
        <v>34</v>
      </c>
      <c r="J6" s="12"/>
      <c r="K6" s="12"/>
      <c r="L6" s="12"/>
      <c r="M6" s="12"/>
      <c r="N6" s="12">
        <v>9.1</v>
      </c>
      <c r="O6" s="12">
        <v>3.1</v>
      </c>
      <c r="P6" s="12"/>
    </row>
    <row r="7" s="2" customFormat="1" customHeight="1" spans="1:16">
      <c r="A7" s="2" t="s">
        <v>35</v>
      </c>
      <c r="B7" s="2" t="s">
        <v>21</v>
      </c>
      <c r="C7" s="2" t="s">
        <v>36</v>
      </c>
      <c r="D7" s="2">
        <v>18</v>
      </c>
      <c r="E7" s="2" t="s">
        <v>37</v>
      </c>
      <c r="F7" s="2" t="s">
        <v>21</v>
      </c>
      <c r="G7" s="8">
        <v>23.7</v>
      </c>
      <c r="H7" s="8">
        <v>4.4</v>
      </c>
      <c r="I7" s="21" t="s">
        <v>38</v>
      </c>
      <c r="J7" s="12"/>
      <c r="K7" s="12"/>
      <c r="L7" s="12"/>
      <c r="M7" s="12"/>
      <c r="N7" s="12">
        <v>14.1</v>
      </c>
      <c r="O7" s="12">
        <v>1.7</v>
      </c>
      <c r="P7" s="12"/>
    </row>
    <row r="8" s="2" customFormat="1" customHeight="1" spans="1:16">
      <c r="A8" s="2" t="s">
        <v>35</v>
      </c>
      <c r="B8" s="2" t="s">
        <v>21</v>
      </c>
      <c r="C8" s="2" t="s">
        <v>39</v>
      </c>
      <c r="D8" s="2">
        <v>18</v>
      </c>
      <c r="E8" s="2" t="s">
        <v>37</v>
      </c>
      <c r="F8" s="2" t="s">
        <v>21</v>
      </c>
      <c r="G8" s="8">
        <v>24.4</v>
      </c>
      <c r="H8" s="8">
        <v>3.9</v>
      </c>
      <c r="I8" s="21" t="s">
        <v>40</v>
      </c>
      <c r="J8" s="12"/>
      <c r="K8" s="12"/>
      <c r="L8" s="12"/>
      <c r="M8" s="12"/>
      <c r="N8" s="12">
        <v>15.3</v>
      </c>
      <c r="O8" s="12">
        <v>2.2</v>
      </c>
      <c r="P8" s="12"/>
    </row>
    <row r="9" s="2" customFormat="1" customHeight="1" spans="1:16">
      <c r="A9" s="2" t="s">
        <v>41</v>
      </c>
      <c r="B9" s="2" t="s">
        <v>21</v>
      </c>
      <c r="D9" s="2">
        <v>52</v>
      </c>
      <c r="E9" s="2" t="s">
        <v>37</v>
      </c>
      <c r="F9" s="2" t="s">
        <v>21</v>
      </c>
      <c r="G9" s="8">
        <v>39.1199999999999</v>
      </c>
      <c r="H9" s="8">
        <v>11.32</v>
      </c>
      <c r="I9" s="21" t="s">
        <v>42</v>
      </c>
      <c r="J9" s="12"/>
      <c r="K9" s="12"/>
      <c r="L9" s="12">
        <v>1</v>
      </c>
      <c r="M9" s="12">
        <v>0</v>
      </c>
      <c r="N9" s="12"/>
      <c r="O9" s="12"/>
      <c r="P9" s="12"/>
    </row>
    <row r="10" s="2" customFormat="1" customHeight="1" spans="1:16">
      <c r="A10" s="2" t="s">
        <v>43</v>
      </c>
      <c r="B10" s="2" t="s">
        <v>21</v>
      </c>
      <c r="D10" s="2">
        <v>402</v>
      </c>
      <c r="E10" s="2" t="s">
        <v>23</v>
      </c>
      <c r="F10" s="2" t="s">
        <v>21</v>
      </c>
      <c r="G10" s="8">
        <v>30.57</v>
      </c>
      <c r="H10" s="8">
        <v>7.41</v>
      </c>
      <c r="I10" s="21" t="s">
        <v>44</v>
      </c>
      <c r="J10" s="12"/>
      <c r="K10" s="12"/>
      <c r="L10" s="12"/>
      <c r="M10" s="12"/>
      <c r="N10" s="12"/>
      <c r="O10" s="12"/>
      <c r="P10" s="12"/>
    </row>
    <row r="11" s="2" customFormat="1" customHeight="1" spans="1:16">
      <c r="A11" s="2" t="s">
        <v>45</v>
      </c>
      <c r="B11" s="2" t="s">
        <v>21</v>
      </c>
      <c r="D11" s="2">
        <v>201</v>
      </c>
      <c r="E11" s="2" t="s">
        <v>23</v>
      </c>
      <c r="F11" s="2" t="s">
        <v>21</v>
      </c>
      <c r="G11" s="8"/>
      <c r="H11" s="8"/>
      <c r="I11" s="21" t="s">
        <v>46</v>
      </c>
      <c r="J11" s="12">
        <v>173</v>
      </c>
      <c r="K11" s="12">
        <v>28</v>
      </c>
      <c r="L11" s="12"/>
      <c r="M11" s="12"/>
      <c r="N11" s="12"/>
      <c r="O11" s="12"/>
      <c r="P11" s="12"/>
    </row>
    <row r="12" s="2" customFormat="1" customHeight="1" spans="1:16">
      <c r="A12" s="2" t="s">
        <v>47</v>
      </c>
      <c r="B12" s="2" t="s">
        <v>21</v>
      </c>
      <c r="D12" s="2">
        <v>305</v>
      </c>
      <c r="E12" s="2" t="s">
        <v>23</v>
      </c>
      <c r="F12" s="2" t="s">
        <v>21</v>
      </c>
      <c r="G12" s="8"/>
      <c r="H12" s="8"/>
      <c r="I12" s="21" t="s">
        <v>48</v>
      </c>
      <c r="J12" s="12"/>
      <c r="K12" s="12"/>
      <c r="L12" s="12"/>
      <c r="M12" s="12"/>
      <c r="N12" s="12"/>
      <c r="O12" s="12"/>
      <c r="P12" s="12"/>
    </row>
    <row r="13" s="2" customFormat="1" customHeight="1" spans="1:16">
      <c r="A13" s="2" t="s">
        <v>49</v>
      </c>
      <c r="B13" s="2" t="s">
        <v>21</v>
      </c>
      <c r="D13" s="2">
        <v>292</v>
      </c>
      <c r="E13" s="2" t="s">
        <v>23</v>
      </c>
      <c r="F13" s="2" t="s">
        <v>21</v>
      </c>
      <c r="G13" s="8"/>
      <c r="H13" s="8"/>
      <c r="I13" s="21" t="s">
        <v>50</v>
      </c>
      <c r="J13" s="12">
        <v>233</v>
      </c>
      <c r="K13" s="12">
        <v>25</v>
      </c>
      <c r="L13" s="12"/>
      <c r="M13" s="12"/>
      <c r="N13" s="12"/>
      <c r="O13" s="12"/>
      <c r="P13" s="12"/>
    </row>
    <row r="14" s="2" customFormat="1" customHeight="1" spans="1:20">
      <c r="A14" s="2" t="s">
        <v>51</v>
      </c>
      <c r="B14" s="2" t="s">
        <v>21</v>
      </c>
      <c r="D14" s="2">
        <v>503</v>
      </c>
      <c r="E14" s="2" t="s">
        <v>23</v>
      </c>
      <c r="F14" s="2" t="s">
        <v>21</v>
      </c>
      <c r="G14" s="8">
        <v>30.6</v>
      </c>
      <c r="H14" s="8">
        <v>9.4</v>
      </c>
      <c r="I14" s="21" t="s">
        <v>52</v>
      </c>
      <c r="J14" s="12">
        <v>0</v>
      </c>
      <c r="K14" s="12">
        <v>502</v>
      </c>
      <c r="L14" s="12">
        <v>415</v>
      </c>
      <c r="M14" s="12">
        <v>87</v>
      </c>
      <c r="N14" s="12"/>
      <c r="O14" s="12"/>
      <c r="P14" s="12">
        <v>9</v>
      </c>
      <c r="Q14" s="2">
        <v>46</v>
      </c>
      <c r="R14" s="2">
        <v>269</v>
      </c>
      <c r="S14" s="2">
        <v>178</v>
      </c>
      <c r="T14" s="2">
        <v>0</v>
      </c>
    </row>
    <row r="15" s="2" customFormat="1" customHeight="1" spans="1:20">
      <c r="A15" s="2" t="s">
        <v>53</v>
      </c>
      <c r="B15" s="2" t="s">
        <v>21</v>
      </c>
      <c r="C15" s="2" t="s">
        <v>54</v>
      </c>
      <c r="D15" s="2">
        <v>17</v>
      </c>
      <c r="E15" s="2" t="s">
        <v>37</v>
      </c>
      <c r="F15" s="2" t="s">
        <v>21</v>
      </c>
      <c r="G15" s="8">
        <v>42.12</v>
      </c>
      <c r="H15" s="8">
        <v>10.22</v>
      </c>
      <c r="I15" s="21" t="s">
        <v>55</v>
      </c>
      <c r="J15" s="12">
        <v>6</v>
      </c>
      <c r="K15" s="12">
        <v>11</v>
      </c>
      <c r="L15" s="12">
        <v>12</v>
      </c>
      <c r="M15" s="12">
        <v>5</v>
      </c>
      <c r="N15" s="12"/>
      <c r="O15" s="12"/>
      <c r="P15" s="12">
        <v>0</v>
      </c>
      <c r="Q15" s="2">
        <v>0</v>
      </c>
      <c r="R15" s="2">
        <v>5</v>
      </c>
      <c r="S15" s="2">
        <v>6</v>
      </c>
      <c r="T15" s="2">
        <v>6</v>
      </c>
    </row>
    <row r="16" s="2" customFormat="1" customHeight="1" spans="1:20">
      <c r="A16" s="2" t="s">
        <v>53</v>
      </c>
      <c r="B16" s="2" t="s">
        <v>21</v>
      </c>
      <c r="C16" s="2" t="s">
        <v>56</v>
      </c>
      <c r="D16" s="2">
        <v>50</v>
      </c>
      <c r="E16" s="2" t="s">
        <v>37</v>
      </c>
      <c r="F16" s="2" t="s">
        <v>21</v>
      </c>
      <c r="G16" s="8">
        <v>40.42</v>
      </c>
      <c r="H16" s="8">
        <v>10.23</v>
      </c>
      <c r="I16" s="21" t="s">
        <v>57</v>
      </c>
      <c r="J16" s="12">
        <v>9</v>
      </c>
      <c r="K16" s="12">
        <v>41</v>
      </c>
      <c r="L16" s="12">
        <v>26</v>
      </c>
      <c r="M16" s="12">
        <v>24</v>
      </c>
      <c r="N16" s="12"/>
      <c r="O16" s="12"/>
      <c r="P16" s="12">
        <v>0</v>
      </c>
      <c r="Q16" s="2">
        <v>7</v>
      </c>
      <c r="R16" s="2">
        <v>17</v>
      </c>
      <c r="S16" s="2">
        <v>17</v>
      </c>
      <c r="T16" s="2">
        <v>9</v>
      </c>
    </row>
    <row r="17" s="2" customFormat="1" customHeight="1" spans="1:20">
      <c r="A17" s="2" t="s">
        <v>53</v>
      </c>
      <c r="B17" s="2" t="s">
        <v>21</v>
      </c>
      <c r="C17" s="2" t="s">
        <v>58</v>
      </c>
      <c r="D17" s="2">
        <v>22</v>
      </c>
      <c r="E17" s="2" t="s">
        <v>37</v>
      </c>
      <c r="F17" s="2" t="s">
        <v>21</v>
      </c>
      <c r="G17" s="8">
        <v>41.95</v>
      </c>
      <c r="H17" s="8">
        <v>9.11999999999999</v>
      </c>
      <c r="I17" s="21" t="s">
        <v>59</v>
      </c>
      <c r="J17" s="12">
        <v>4</v>
      </c>
      <c r="K17" s="12">
        <v>18</v>
      </c>
      <c r="L17" s="12">
        <v>14</v>
      </c>
      <c r="M17" s="12">
        <v>8</v>
      </c>
      <c r="N17" s="12"/>
      <c r="O17" s="12"/>
      <c r="P17" s="12">
        <v>0</v>
      </c>
      <c r="Q17" s="2">
        <v>8</v>
      </c>
      <c r="R17" s="2">
        <v>22</v>
      </c>
      <c r="S17" s="2">
        <v>24</v>
      </c>
      <c r="T17" s="2">
        <v>27</v>
      </c>
    </row>
    <row r="18" s="2" customFormat="1" customHeight="1" spans="1:20">
      <c r="A18" s="2" t="s">
        <v>53</v>
      </c>
      <c r="B18" s="2" t="s">
        <v>21</v>
      </c>
      <c r="C18" s="2" t="s">
        <v>60</v>
      </c>
      <c r="D18" s="2">
        <v>81</v>
      </c>
      <c r="E18" s="2" t="s">
        <v>37</v>
      </c>
      <c r="F18" s="2" t="s">
        <v>21</v>
      </c>
      <c r="G18" s="8">
        <v>42.69</v>
      </c>
      <c r="H18" s="8">
        <v>11.06</v>
      </c>
      <c r="I18" s="21" t="s">
        <v>61</v>
      </c>
      <c r="J18" s="12">
        <v>27</v>
      </c>
      <c r="K18" s="12">
        <v>54</v>
      </c>
      <c r="L18" s="12">
        <v>51</v>
      </c>
      <c r="M18" s="12">
        <v>30</v>
      </c>
      <c r="N18" s="12"/>
      <c r="O18" s="12"/>
      <c r="P18" s="12">
        <v>0</v>
      </c>
      <c r="Q18" s="2">
        <v>1</v>
      </c>
      <c r="R18" s="2">
        <v>7</v>
      </c>
      <c r="S18" s="2">
        <v>10</v>
      </c>
      <c r="T18" s="2">
        <v>4</v>
      </c>
    </row>
    <row r="19" s="2" customFormat="1" customHeight="1" spans="1:16">
      <c r="A19" s="2" t="s">
        <v>62</v>
      </c>
      <c r="B19" s="2" t="s">
        <v>63</v>
      </c>
      <c r="C19" s="2" t="s">
        <v>64</v>
      </c>
      <c r="D19" s="2">
        <v>70</v>
      </c>
      <c r="E19" s="2" t="s">
        <v>23</v>
      </c>
      <c r="F19" s="2" t="s">
        <v>21</v>
      </c>
      <c r="G19" s="8">
        <v>30.74</v>
      </c>
      <c r="H19" s="8">
        <v>2.96</v>
      </c>
      <c r="I19" s="21" t="s">
        <v>65</v>
      </c>
      <c r="J19" s="12">
        <v>70</v>
      </c>
      <c r="K19" s="12">
        <v>0</v>
      </c>
      <c r="L19" s="12">
        <v>70</v>
      </c>
      <c r="M19" s="12">
        <v>0</v>
      </c>
      <c r="N19" s="12"/>
      <c r="O19" s="12"/>
      <c r="P19" s="12"/>
    </row>
    <row r="20" s="2" customFormat="1" customHeight="1" spans="1:16">
      <c r="A20" s="2" t="s">
        <v>62</v>
      </c>
      <c r="B20" s="2" t="s">
        <v>63</v>
      </c>
      <c r="C20" s="2" t="s">
        <v>66</v>
      </c>
      <c r="D20" s="2">
        <v>62</v>
      </c>
      <c r="E20" s="2" t="s">
        <v>23</v>
      </c>
      <c r="F20" s="2" t="s">
        <v>21</v>
      </c>
      <c r="G20" s="8">
        <v>32.42</v>
      </c>
      <c r="H20" s="8">
        <v>4.34</v>
      </c>
      <c r="I20" s="21" t="s">
        <v>65</v>
      </c>
      <c r="J20" s="12">
        <v>62</v>
      </c>
      <c r="K20" s="12">
        <v>0</v>
      </c>
      <c r="L20" s="12">
        <v>62</v>
      </c>
      <c r="M20" s="12">
        <v>0</v>
      </c>
      <c r="N20" s="12"/>
      <c r="O20" s="12"/>
      <c r="P20" s="12"/>
    </row>
    <row r="21" s="2" customFormat="1" customHeight="1" spans="1:16">
      <c r="A21" s="2" t="s">
        <v>62</v>
      </c>
      <c r="B21" s="2" t="s">
        <v>63</v>
      </c>
      <c r="C21" s="2" t="s">
        <v>67</v>
      </c>
      <c r="D21" s="2">
        <v>58</v>
      </c>
      <c r="E21" s="2" t="s">
        <v>23</v>
      </c>
      <c r="F21" s="2" t="s">
        <v>21</v>
      </c>
      <c r="G21" s="8">
        <v>30.62</v>
      </c>
      <c r="H21" s="8">
        <v>3.07</v>
      </c>
      <c r="I21" s="21" t="s">
        <v>65</v>
      </c>
      <c r="J21" s="12">
        <v>58</v>
      </c>
      <c r="K21" s="12">
        <v>0</v>
      </c>
      <c r="L21" s="12">
        <v>58</v>
      </c>
      <c r="M21" s="12">
        <v>0</v>
      </c>
      <c r="N21" s="12"/>
      <c r="O21" s="12"/>
      <c r="P21" s="12"/>
    </row>
    <row r="22" s="2" customFormat="1" customHeight="1" spans="1:16">
      <c r="A22" s="2" t="s">
        <v>68</v>
      </c>
      <c r="B22" s="2" t="s">
        <v>21</v>
      </c>
      <c r="C22" s="2" t="s">
        <v>25</v>
      </c>
      <c r="D22" s="2">
        <v>160</v>
      </c>
      <c r="E22" s="2" t="s">
        <v>23</v>
      </c>
      <c r="F22" s="2" t="s">
        <v>21</v>
      </c>
      <c r="G22" s="8">
        <v>41.79</v>
      </c>
      <c r="H22" s="8">
        <v>3.87</v>
      </c>
      <c r="I22" s="21" t="s">
        <v>69</v>
      </c>
      <c r="J22" s="12">
        <v>0.0688</v>
      </c>
      <c r="K22" s="12">
        <f>1-0.0688</f>
        <v>0.9312</v>
      </c>
      <c r="L22" s="12">
        <v>0.2126</v>
      </c>
      <c r="M22" s="12">
        <f>1-L22</f>
        <v>0.7874</v>
      </c>
      <c r="N22" s="12"/>
      <c r="O22" s="12"/>
      <c r="P22" s="12"/>
    </row>
    <row r="23" s="2" customFormat="1" customHeight="1" spans="1:16">
      <c r="A23" s="2" t="s">
        <v>68</v>
      </c>
      <c r="B23" s="2" t="s">
        <v>21</v>
      </c>
      <c r="C23" s="2" t="s">
        <v>22</v>
      </c>
      <c r="D23" s="2">
        <v>160</v>
      </c>
      <c r="E23" s="2" t="s">
        <v>23</v>
      </c>
      <c r="F23" s="2" t="s">
        <v>21</v>
      </c>
      <c r="G23" s="8">
        <v>42.36</v>
      </c>
      <c r="H23" s="8">
        <v>3.62</v>
      </c>
      <c r="I23" s="21" t="s">
        <v>70</v>
      </c>
      <c r="J23" s="12">
        <v>0.05</v>
      </c>
      <c r="K23" s="12">
        <f>1-0.05</f>
        <v>0.95</v>
      </c>
      <c r="L23" s="12">
        <v>0.1063</v>
      </c>
      <c r="M23" s="12">
        <f>1-L23</f>
        <v>0.8937</v>
      </c>
      <c r="N23" s="12"/>
      <c r="O23" s="12"/>
      <c r="P23" s="12"/>
    </row>
    <row r="24" s="2" customFormat="1" customHeight="1" spans="1:16">
      <c r="A24" s="2" t="s">
        <v>71</v>
      </c>
      <c r="B24" s="2" t="s">
        <v>21</v>
      </c>
      <c r="D24" s="2">
        <v>312</v>
      </c>
      <c r="E24" s="2" t="s">
        <v>37</v>
      </c>
      <c r="F24" s="2" t="s">
        <v>21</v>
      </c>
      <c r="G24" s="8"/>
      <c r="H24" s="8"/>
      <c r="I24" s="21" t="s">
        <v>72</v>
      </c>
      <c r="J24" s="12">
        <v>0.821</v>
      </c>
      <c r="K24" s="12">
        <f>1-0.821</f>
        <v>0.179</v>
      </c>
      <c r="L24" s="12"/>
      <c r="M24" s="12"/>
      <c r="N24" s="12"/>
      <c r="O24" s="12"/>
      <c r="P24" s="12"/>
    </row>
    <row r="25" s="2" customFormat="1" customHeight="1" spans="1:19">
      <c r="A25" s="2" t="s">
        <v>73</v>
      </c>
      <c r="B25" s="2" t="s">
        <v>21</v>
      </c>
      <c r="D25" s="2">
        <v>594</v>
      </c>
      <c r="E25" s="2" t="s">
        <v>23</v>
      </c>
      <c r="F25" s="2" t="s">
        <v>21</v>
      </c>
      <c r="G25" s="8">
        <v>70.51</v>
      </c>
      <c r="H25" s="8">
        <v>6.35</v>
      </c>
      <c r="I25" s="21" t="s">
        <v>74</v>
      </c>
      <c r="J25" s="12"/>
      <c r="K25" s="12"/>
      <c r="L25" s="12">
        <v>84</v>
      </c>
      <c r="M25" s="12">
        <v>510</v>
      </c>
      <c r="N25" s="12"/>
      <c r="O25" s="12"/>
      <c r="P25" s="12">
        <v>144</v>
      </c>
      <c r="Q25" s="2">
        <v>250</v>
      </c>
      <c r="R25" s="2">
        <v>116</v>
      </c>
      <c r="S25" s="2" t="s">
        <v>75</v>
      </c>
    </row>
    <row r="26" s="2" customFormat="1" customHeight="1" spans="1:19">
      <c r="A26" s="2" t="s">
        <v>76</v>
      </c>
      <c r="B26" s="2" t="s">
        <v>21</v>
      </c>
      <c r="D26" s="2">
        <v>198</v>
      </c>
      <c r="E26" s="2" t="s">
        <v>23</v>
      </c>
      <c r="F26" s="2" t="s">
        <v>21</v>
      </c>
      <c r="G26" s="8"/>
      <c r="H26" s="8"/>
      <c r="I26" s="21" t="s">
        <v>77</v>
      </c>
      <c r="J26" s="12"/>
      <c r="K26" s="12"/>
      <c r="L26" s="12">
        <v>24</v>
      </c>
      <c r="M26" s="12">
        <v>174</v>
      </c>
      <c r="N26" s="12"/>
      <c r="O26" s="12"/>
      <c r="P26" s="12" t="s">
        <v>78</v>
      </c>
      <c r="R26" s="2">
        <v>105</v>
      </c>
      <c r="S26" s="2" t="s">
        <v>79</v>
      </c>
    </row>
    <row r="27" s="2" customFormat="1" customHeight="1" spans="1:16">
      <c r="A27" s="2" t="s">
        <v>80</v>
      </c>
      <c r="B27" s="2" t="s">
        <v>21</v>
      </c>
      <c r="D27" s="2">
        <v>225</v>
      </c>
      <c r="E27" s="2" t="s">
        <v>23</v>
      </c>
      <c r="F27" s="2" t="s">
        <v>21</v>
      </c>
      <c r="G27" s="8"/>
      <c r="H27" s="8"/>
      <c r="I27" s="21" t="s">
        <v>81</v>
      </c>
      <c r="J27" s="12"/>
      <c r="K27" s="12"/>
      <c r="L27" s="12"/>
      <c r="M27" s="12"/>
      <c r="N27" s="12"/>
      <c r="O27" s="12"/>
      <c r="P27" s="12"/>
    </row>
    <row r="28" s="2" customFormat="1" customHeight="1" spans="1:16">
      <c r="A28" s="2" t="s">
        <v>82</v>
      </c>
      <c r="B28" s="2" t="s">
        <v>21</v>
      </c>
      <c r="D28" s="2">
        <v>168</v>
      </c>
      <c r="E28" s="2" t="s">
        <v>23</v>
      </c>
      <c r="F28" s="2" t="s">
        <v>21</v>
      </c>
      <c r="G28" s="8"/>
      <c r="H28" s="8"/>
      <c r="I28" s="21" t="s">
        <v>83</v>
      </c>
      <c r="J28" s="12">
        <v>168</v>
      </c>
      <c r="K28" s="12">
        <v>0</v>
      </c>
      <c r="L28" s="12">
        <v>168</v>
      </c>
      <c r="M28" s="12">
        <v>0</v>
      </c>
      <c r="N28" s="12"/>
      <c r="O28" s="12"/>
      <c r="P28" s="12"/>
    </row>
    <row r="29" s="2" customFormat="1" customHeight="1" spans="1:16">
      <c r="A29" s="2" t="s">
        <v>84</v>
      </c>
      <c r="B29" s="2" t="s">
        <v>21</v>
      </c>
      <c r="D29" s="2">
        <v>1159</v>
      </c>
      <c r="E29" s="2" t="s">
        <v>23</v>
      </c>
      <c r="F29" s="2" t="s">
        <v>21</v>
      </c>
      <c r="G29" s="8"/>
      <c r="H29" s="8"/>
      <c r="I29" s="21" t="s">
        <v>85</v>
      </c>
      <c r="J29" s="12"/>
      <c r="K29" s="12"/>
      <c r="L29" s="12"/>
      <c r="M29" s="12"/>
      <c r="N29" s="12"/>
      <c r="O29" s="12"/>
      <c r="P29" s="12"/>
    </row>
    <row r="30" s="2" customFormat="1" customHeight="1" spans="1:16">
      <c r="A30" s="2" t="s">
        <v>86</v>
      </c>
      <c r="B30" s="2" t="s">
        <v>21</v>
      </c>
      <c r="C30" s="2" t="s">
        <v>87</v>
      </c>
      <c r="D30" s="2">
        <v>48</v>
      </c>
      <c r="E30" s="2" t="s">
        <v>37</v>
      </c>
      <c r="F30" s="2" t="s">
        <v>21</v>
      </c>
      <c r="G30" s="8">
        <v>30.71</v>
      </c>
      <c r="H30" s="8">
        <v>10.86</v>
      </c>
      <c r="I30" s="21" t="s">
        <v>88</v>
      </c>
      <c r="J30" s="12"/>
      <c r="K30" s="12"/>
      <c r="L30" s="12"/>
      <c r="M30" s="12"/>
      <c r="N30" s="12"/>
      <c r="O30" s="12"/>
      <c r="P30" s="12"/>
    </row>
    <row r="31" s="2" customFormat="1" customHeight="1" spans="1:16">
      <c r="A31" s="2" t="s">
        <v>86</v>
      </c>
      <c r="B31" s="2" t="s">
        <v>21</v>
      </c>
      <c r="C31" s="2" t="s">
        <v>89</v>
      </c>
      <c r="D31" s="2">
        <v>24</v>
      </c>
      <c r="E31" s="2" t="s">
        <v>37</v>
      </c>
      <c r="F31" s="2" t="s">
        <v>21</v>
      </c>
      <c r="G31" s="8">
        <v>28.96</v>
      </c>
      <c r="H31" s="8">
        <v>8.44</v>
      </c>
      <c r="I31" s="21" t="s">
        <v>88</v>
      </c>
      <c r="J31" s="12"/>
      <c r="K31" s="12"/>
      <c r="L31" s="12"/>
      <c r="M31" s="12"/>
      <c r="N31" s="12"/>
      <c r="O31" s="12"/>
      <c r="P31" s="12"/>
    </row>
    <row r="32" s="2" customFormat="1" customHeight="1" spans="1:16">
      <c r="A32" s="2" t="s">
        <v>90</v>
      </c>
      <c r="B32" s="2" t="s">
        <v>21</v>
      </c>
      <c r="D32" s="2">
        <v>187</v>
      </c>
      <c r="E32" s="2" t="s">
        <v>23</v>
      </c>
      <c r="F32" s="2" t="s">
        <v>21</v>
      </c>
      <c r="G32" s="8"/>
      <c r="H32" s="8"/>
      <c r="I32" s="21" t="s">
        <v>91</v>
      </c>
      <c r="J32" s="12">
        <v>145</v>
      </c>
      <c r="K32" s="12">
        <v>42</v>
      </c>
      <c r="L32" s="12"/>
      <c r="M32" s="12"/>
      <c r="N32" s="12"/>
      <c r="O32" s="12"/>
      <c r="P32" s="12"/>
    </row>
    <row r="33" s="2" customFormat="1" customHeight="1" spans="1:20">
      <c r="A33" s="2" t="s">
        <v>92</v>
      </c>
      <c r="B33" s="2" t="s">
        <v>21</v>
      </c>
      <c r="D33" s="2">
        <v>621</v>
      </c>
      <c r="E33" s="2" t="s">
        <v>37</v>
      </c>
      <c r="F33" s="2" t="s">
        <v>21</v>
      </c>
      <c r="G33" s="8">
        <v>31.73</v>
      </c>
      <c r="H33" s="8"/>
      <c r="I33" s="21" t="s">
        <v>93</v>
      </c>
      <c r="J33" s="12">
        <v>133</v>
      </c>
      <c r="K33" s="12">
        <v>54</v>
      </c>
      <c r="L33" s="12"/>
      <c r="M33" s="12"/>
      <c r="N33" s="12"/>
      <c r="O33" s="12"/>
      <c r="P33" s="12">
        <v>0</v>
      </c>
      <c r="Q33" s="2">
        <v>54</v>
      </c>
      <c r="R33" s="2">
        <v>433</v>
      </c>
      <c r="S33" s="2">
        <v>0</v>
      </c>
      <c r="T33" s="2">
        <v>133</v>
      </c>
    </row>
    <row r="34" s="2" customFormat="1" customHeight="1" spans="1:16">
      <c r="A34" s="2" t="s">
        <v>94</v>
      </c>
      <c r="B34" s="2" t="s">
        <v>21</v>
      </c>
      <c r="D34" s="2">
        <v>160</v>
      </c>
      <c r="E34" s="2" t="s">
        <v>23</v>
      </c>
      <c r="F34" s="2" t="s">
        <v>21</v>
      </c>
      <c r="G34" s="8"/>
      <c r="H34" s="8"/>
      <c r="I34" s="21" t="s">
        <v>95</v>
      </c>
      <c r="J34" s="12">
        <v>98</v>
      </c>
      <c r="K34" s="12">
        <v>55</v>
      </c>
      <c r="L34" s="12">
        <v>153</v>
      </c>
      <c r="M34" s="12">
        <v>0</v>
      </c>
      <c r="N34" s="12"/>
      <c r="O34" s="12"/>
      <c r="P34" s="12"/>
    </row>
    <row r="35" s="2" customFormat="1" customHeight="1" spans="1:16">
      <c r="A35" s="2" t="s">
        <v>96</v>
      </c>
      <c r="B35" s="2" t="s">
        <v>21</v>
      </c>
      <c r="D35" s="2">
        <v>330</v>
      </c>
      <c r="E35" s="2" t="s">
        <v>23</v>
      </c>
      <c r="F35" s="2" t="s">
        <v>21</v>
      </c>
      <c r="G35" s="8"/>
      <c r="H35" s="8"/>
      <c r="I35" s="21" t="s">
        <v>97</v>
      </c>
      <c r="J35" s="12"/>
      <c r="K35" s="12"/>
      <c r="L35" s="12"/>
      <c r="M35" s="12"/>
      <c r="N35" s="12"/>
      <c r="O35" s="12"/>
      <c r="P35" s="12"/>
    </row>
    <row r="36" s="2" customFormat="1" customHeight="1" spans="1:16">
      <c r="A36" s="2" t="s">
        <v>98</v>
      </c>
      <c r="B36" s="2" t="s">
        <v>21</v>
      </c>
      <c r="D36" s="2">
        <v>241</v>
      </c>
      <c r="E36" s="2" t="s">
        <v>23</v>
      </c>
      <c r="F36" s="2" t="s">
        <v>21</v>
      </c>
      <c r="G36" s="8">
        <v>29.86</v>
      </c>
      <c r="H36" s="8">
        <v>5.97</v>
      </c>
      <c r="I36" s="21" t="s">
        <v>99</v>
      </c>
      <c r="J36" s="12">
        <v>0.97</v>
      </c>
      <c r="K36" s="12">
        <v>0.029</v>
      </c>
      <c r="L36" s="12"/>
      <c r="M36" s="12"/>
      <c r="N36" s="12"/>
      <c r="O36" s="12"/>
      <c r="P36" s="12"/>
    </row>
    <row r="37" s="2" customFormat="1" customHeight="1" spans="1:16">
      <c r="A37" s="2" t="s">
        <v>100</v>
      </c>
      <c r="B37" s="2" t="s">
        <v>21</v>
      </c>
      <c r="C37" s="2" t="s">
        <v>101</v>
      </c>
      <c r="D37" s="2">
        <v>35</v>
      </c>
      <c r="E37" s="2" t="s">
        <v>37</v>
      </c>
      <c r="F37" s="2" t="s">
        <v>21</v>
      </c>
      <c r="G37" s="8">
        <v>24.54</v>
      </c>
      <c r="H37" s="8">
        <v>6.92</v>
      </c>
      <c r="I37" s="21" t="s">
        <v>102</v>
      </c>
      <c r="J37" s="12"/>
      <c r="K37" s="12"/>
      <c r="L37" s="12"/>
      <c r="M37" s="12"/>
      <c r="N37" s="12">
        <v>12.16</v>
      </c>
      <c r="O37" s="12">
        <v>2.29</v>
      </c>
      <c r="P37" s="12"/>
    </row>
    <row r="38" s="2" customFormat="1" customHeight="1" spans="1:16">
      <c r="A38" s="2" t="s">
        <v>100</v>
      </c>
      <c r="B38" s="2" t="s">
        <v>21</v>
      </c>
      <c r="C38" s="2" t="s">
        <v>103</v>
      </c>
      <c r="D38" s="2">
        <v>17</v>
      </c>
      <c r="E38" s="2" t="s">
        <v>37</v>
      </c>
      <c r="F38" s="2" t="s">
        <v>21</v>
      </c>
      <c r="G38" s="8">
        <v>22.59</v>
      </c>
      <c r="H38" s="8">
        <v>4.42</v>
      </c>
      <c r="I38" s="21" t="s">
        <v>104</v>
      </c>
      <c r="J38" s="12"/>
      <c r="K38" s="12"/>
      <c r="L38" s="12"/>
      <c r="M38" s="12"/>
      <c r="N38" s="12">
        <v>11.74</v>
      </c>
      <c r="O38" s="12">
        <v>2.17</v>
      </c>
      <c r="P38" s="12"/>
    </row>
    <row r="39" s="2" customFormat="1" customHeight="1" spans="1:16">
      <c r="A39" s="2" t="s">
        <v>100</v>
      </c>
      <c r="B39" s="2" t="s">
        <v>21</v>
      </c>
      <c r="C39" s="2" t="s">
        <v>105</v>
      </c>
      <c r="D39" s="2">
        <v>38</v>
      </c>
      <c r="E39" s="2" t="s">
        <v>37</v>
      </c>
      <c r="F39" s="2" t="s">
        <v>21</v>
      </c>
      <c r="G39" s="8">
        <v>24.34</v>
      </c>
      <c r="H39" s="8">
        <v>6.37</v>
      </c>
      <c r="I39" s="21" t="s">
        <v>106</v>
      </c>
      <c r="J39" s="12"/>
      <c r="K39" s="12"/>
      <c r="L39" s="12"/>
      <c r="M39" s="12"/>
      <c r="N39" s="12">
        <v>13.2</v>
      </c>
      <c r="O39" s="12">
        <v>2.47</v>
      </c>
      <c r="P39" s="12"/>
    </row>
    <row r="40" s="2" customFormat="1" customHeight="1" spans="1:16">
      <c r="A40" s="2" t="s">
        <v>107</v>
      </c>
      <c r="B40" s="2" t="s">
        <v>21</v>
      </c>
      <c r="C40" s="2" t="s">
        <v>108</v>
      </c>
      <c r="D40" s="2">
        <v>69</v>
      </c>
      <c r="E40" s="2" t="s">
        <v>23</v>
      </c>
      <c r="F40" s="2" t="s">
        <v>21</v>
      </c>
      <c r="G40" s="8">
        <v>34.51</v>
      </c>
      <c r="H40" s="8">
        <v>6.71</v>
      </c>
      <c r="I40" s="21" t="s">
        <v>109</v>
      </c>
      <c r="J40" s="12"/>
      <c r="K40" s="12"/>
      <c r="L40" s="12"/>
      <c r="M40" s="12"/>
      <c r="N40" s="12">
        <v>10.25</v>
      </c>
      <c r="O40" s="12">
        <v>3.07</v>
      </c>
      <c r="P40" s="12"/>
    </row>
    <row r="41" s="2" customFormat="1" customHeight="1" spans="1:16">
      <c r="A41" s="2" t="s">
        <v>107</v>
      </c>
      <c r="B41" s="2" t="s">
        <v>21</v>
      </c>
      <c r="C41" s="2" t="s">
        <v>105</v>
      </c>
      <c r="D41" s="2">
        <v>69</v>
      </c>
      <c r="E41" s="2" t="s">
        <v>37</v>
      </c>
      <c r="F41" s="2" t="s">
        <v>21</v>
      </c>
      <c r="G41" s="8">
        <v>34.2999999999999</v>
      </c>
      <c r="H41" s="8">
        <v>11.52</v>
      </c>
      <c r="I41" s="21" t="s">
        <v>110</v>
      </c>
      <c r="J41" s="12"/>
      <c r="K41" s="12"/>
      <c r="L41" s="12"/>
      <c r="M41" s="12"/>
      <c r="N41" s="12">
        <v>11.94</v>
      </c>
      <c r="O41" s="12">
        <v>4.13</v>
      </c>
      <c r="P41" s="12"/>
    </row>
    <row r="42" s="2" customFormat="1" customHeight="1" spans="1:16">
      <c r="A42" s="2" t="s">
        <v>111</v>
      </c>
      <c r="B42" s="2" t="s">
        <v>21</v>
      </c>
      <c r="C42" s="2" t="s">
        <v>112</v>
      </c>
      <c r="D42" s="2">
        <v>31</v>
      </c>
      <c r="E42" s="2" t="s">
        <v>23</v>
      </c>
      <c r="F42" s="2" t="s">
        <v>21</v>
      </c>
      <c r="G42" s="8">
        <v>40.65</v>
      </c>
      <c r="H42" s="8">
        <v>5.86</v>
      </c>
      <c r="I42" s="21" t="s">
        <v>113</v>
      </c>
      <c r="J42" s="12">
        <v>12</v>
      </c>
      <c r="K42" s="12">
        <v>19</v>
      </c>
      <c r="L42" s="12">
        <v>19</v>
      </c>
      <c r="M42" s="12">
        <v>12</v>
      </c>
      <c r="N42" s="12"/>
      <c r="O42" s="12"/>
      <c r="P42" s="12"/>
    </row>
    <row r="43" s="2" customFormat="1" customHeight="1" spans="1:16">
      <c r="A43" s="2" t="s">
        <v>111</v>
      </c>
      <c r="B43" s="2" t="s">
        <v>21</v>
      </c>
      <c r="C43" s="2" t="s">
        <v>89</v>
      </c>
      <c r="D43" s="2">
        <v>30</v>
      </c>
      <c r="E43" s="2" t="s">
        <v>23</v>
      </c>
      <c r="F43" s="2" t="s">
        <v>21</v>
      </c>
      <c r="G43" s="8">
        <v>38.47</v>
      </c>
      <c r="H43" s="8">
        <v>7.81099999999999</v>
      </c>
      <c r="I43" s="21" t="s">
        <v>114</v>
      </c>
      <c r="J43" s="12">
        <v>6</v>
      </c>
      <c r="K43" s="12">
        <v>24</v>
      </c>
      <c r="L43" s="12">
        <v>16</v>
      </c>
      <c r="M43" s="12">
        <v>14</v>
      </c>
      <c r="N43" s="12"/>
      <c r="O43" s="12"/>
      <c r="P43" s="12"/>
    </row>
    <row r="44" s="2" customFormat="1" customHeight="1" spans="1:16">
      <c r="A44" s="2" t="s">
        <v>115</v>
      </c>
      <c r="B44" s="2" t="s">
        <v>21</v>
      </c>
      <c r="C44" s="2" t="s">
        <v>116</v>
      </c>
      <c r="D44" s="2">
        <v>258</v>
      </c>
      <c r="E44" s="2" t="s">
        <v>23</v>
      </c>
      <c r="F44" s="2" t="s">
        <v>21</v>
      </c>
      <c r="G44" s="8">
        <v>69.14</v>
      </c>
      <c r="H44" s="8">
        <v>7.4</v>
      </c>
      <c r="I44" s="21" t="s">
        <v>117</v>
      </c>
      <c r="J44" s="12">
        <v>0.237</v>
      </c>
      <c r="K44" s="12">
        <f>1-J44</f>
        <v>0.763</v>
      </c>
      <c r="L44" s="12"/>
      <c r="M44" s="12"/>
      <c r="N44" s="12"/>
      <c r="O44" s="12"/>
      <c r="P44" s="12"/>
    </row>
    <row r="45" s="2" customFormat="1" customHeight="1" spans="1:16">
      <c r="A45" s="2" t="s">
        <v>115</v>
      </c>
      <c r="B45" s="2" t="s">
        <v>21</v>
      </c>
      <c r="C45" s="2" t="s">
        <v>118</v>
      </c>
      <c r="D45" s="2">
        <v>258</v>
      </c>
      <c r="E45" s="2" t="s">
        <v>23</v>
      </c>
      <c r="F45" s="2" t="s">
        <v>21</v>
      </c>
      <c r="G45" s="8">
        <v>67.16</v>
      </c>
      <c r="H45" s="8">
        <v>6.44</v>
      </c>
      <c r="I45" s="21" t="s">
        <v>117</v>
      </c>
      <c r="J45" s="12">
        <v>0.167</v>
      </c>
      <c r="K45" s="12">
        <f>1-J45</f>
        <v>0.833</v>
      </c>
      <c r="L45" s="12"/>
      <c r="M45" s="12"/>
      <c r="N45" s="12"/>
      <c r="O45" s="12"/>
      <c r="P45" s="12"/>
    </row>
    <row r="46" s="2" customFormat="1" customHeight="1" spans="1:16">
      <c r="A46" s="2" t="s">
        <v>119</v>
      </c>
      <c r="B46" s="2" t="s">
        <v>21</v>
      </c>
      <c r="C46" s="2" t="s">
        <v>120</v>
      </c>
      <c r="D46" s="2">
        <v>536</v>
      </c>
      <c r="E46" s="2" t="s">
        <v>23</v>
      </c>
      <c r="F46" s="2" t="s">
        <v>21</v>
      </c>
      <c r="G46" s="8">
        <v>29.97</v>
      </c>
      <c r="H46" s="8">
        <v>4.49</v>
      </c>
      <c r="I46" s="21" t="s">
        <v>121</v>
      </c>
      <c r="J46" s="12">
        <v>0.92</v>
      </c>
      <c r="K46" s="12">
        <v>0.08</v>
      </c>
      <c r="L46" s="12"/>
      <c r="M46" s="12"/>
      <c r="N46" s="12"/>
      <c r="O46" s="12"/>
      <c r="P46" s="12"/>
    </row>
    <row r="47" s="2" customFormat="1" customHeight="1" spans="1:16">
      <c r="A47" s="2" t="s">
        <v>119</v>
      </c>
      <c r="B47" s="2" t="s">
        <v>21</v>
      </c>
      <c r="C47" s="2" t="s">
        <v>122</v>
      </c>
      <c r="D47" s="2">
        <v>111</v>
      </c>
      <c r="E47" s="2" t="s">
        <v>23</v>
      </c>
      <c r="F47" s="2" t="s">
        <v>21</v>
      </c>
      <c r="G47" s="8">
        <v>34.0499999999999</v>
      </c>
      <c r="H47" s="8">
        <v>4.68</v>
      </c>
      <c r="I47" s="21" t="s">
        <v>123</v>
      </c>
      <c r="J47" s="12">
        <f>1-K47</f>
        <v>0.982</v>
      </c>
      <c r="K47" s="12">
        <v>0.018</v>
      </c>
      <c r="L47" s="12"/>
      <c r="M47" s="12"/>
      <c r="N47" s="12"/>
      <c r="O47" s="12"/>
      <c r="P47" s="12"/>
    </row>
    <row r="48" s="2" customFormat="1" customHeight="1" spans="1:16">
      <c r="A48" s="2" t="s">
        <v>124</v>
      </c>
      <c r="B48" s="2" t="s">
        <v>125</v>
      </c>
      <c r="D48" s="2">
        <v>56</v>
      </c>
      <c r="E48" s="2" t="s">
        <v>37</v>
      </c>
      <c r="F48" s="2" t="s">
        <v>21</v>
      </c>
      <c r="G48" s="8">
        <v>31.75</v>
      </c>
      <c r="H48" s="8">
        <v>8.65</v>
      </c>
      <c r="I48" s="21" t="s">
        <v>126</v>
      </c>
      <c r="J48" s="12"/>
      <c r="K48" s="12"/>
      <c r="L48" s="12">
        <v>1</v>
      </c>
      <c r="M48" s="12">
        <v>0</v>
      </c>
      <c r="N48" s="12"/>
      <c r="O48" s="12"/>
      <c r="P48" s="12"/>
    </row>
    <row r="49" s="2" customFormat="1" customHeight="1" spans="1:16">
      <c r="A49" s="2" t="s">
        <v>124</v>
      </c>
      <c r="B49" s="2" t="s">
        <v>21</v>
      </c>
      <c r="D49" s="2">
        <v>633</v>
      </c>
      <c r="E49" s="2" t="s">
        <v>37</v>
      </c>
      <c r="F49" s="2" t="s">
        <v>21</v>
      </c>
      <c r="G49" s="8">
        <v>29.98</v>
      </c>
      <c r="H49" s="8">
        <v>7.75</v>
      </c>
      <c r="I49" s="21" t="s">
        <v>127</v>
      </c>
      <c r="J49" s="12"/>
      <c r="K49" s="12"/>
      <c r="L49" s="12">
        <v>0.94</v>
      </c>
      <c r="M49" s="12">
        <v>0.06</v>
      </c>
      <c r="N49" s="12"/>
      <c r="O49" s="12"/>
      <c r="P49" s="12"/>
    </row>
    <row r="50" s="2" customFormat="1" customHeight="1" spans="1:16">
      <c r="A50" s="2" t="s">
        <v>124</v>
      </c>
      <c r="B50" s="2" t="s">
        <v>128</v>
      </c>
      <c r="C50" s="2" t="s">
        <v>129</v>
      </c>
      <c r="D50" s="2">
        <v>396</v>
      </c>
      <c r="E50" s="2" t="s">
        <v>37</v>
      </c>
      <c r="F50" s="2" t="s">
        <v>21</v>
      </c>
      <c r="G50" s="8">
        <v>30.06</v>
      </c>
      <c r="H50" s="8">
        <v>7.3</v>
      </c>
      <c r="I50" s="21" t="s">
        <v>130</v>
      </c>
      <c r="J50" s="12"/>
      <c r="K50" s="12"/>
      <c r="L50" s="12">
        <v>0.998</v>
      </c>
      <c r="M50" s="12">
        <v>0.003</v>
      </c>
      <c r="N50" s="12"/>
      <c r="O50" s="12"/>
      <c r="P50" s="12"/>
    </row>
    <row r="51" s="2" customFormat="1" customHeight="1" spans="1:16">
      <c r="A51" s="2" t="s">
        <v>124</v>
      </c>
      <c r="B51" s="2" t="s">
        <v>63</v>
      </c>
      <c r="C51" s="2" t="s">
        <v>129</v>
      </c>
      <c r="D51" s="2">
        <v>221</v>
      </c>
      <c r="E51" s="2" t="s">
        <v>37</v>
      </c>
      <c r="F51" s="2" t="s">
        <v>21</v>
      </c>
      <c r="G51" s="8">
        <v>30.89</v>
      </c>
      <c r="H51" s="8">
        <v>7.77</v>
      </c>
      <c r="I51" s="21" t="s">
        <v>131</v>
      </c>
      <c r="J51" s="12"/>
      <c r="K51" s="12"/>
      <c r="L51" s="12">
        <v>0.995</v>
      </c>
      <c r="M51" s="12">
        <v>0.005</v>
      </c>
      <c r="N51" s="12"/>
      <c r="O51" s="12"/>
      <c r="P51" s="12"/>
    </row>
    <row r="52" s="2" customFormat="1" customHeight="1" spans="1:16">
      <c r="A52" s="2" t="s">
        <v>124</v>
      </c>
      <c r="B52" s="2" t="s">
        <v>63</v>
      </c>
      <c r="C52" s="2" t="s">
        <v>132</v>
      </c>
      <c r="D52" s="2">
        <v>213</v>
      </c>
      <c r="E52" s="2" t="s">
        <v>37</v>
      </c>
      <c r="F52" s="2" t="s">
        <v>21</v>
      </c>
      <c r="G52" s="8">
        <v>41.29</v>
      </c>
      <c r="H52" s="8">
        <v>5.49</v>
      </c>
      <c r="I52" s="21" t="s">
        <v>133</v>
      </c>
      <c r="J52" s="12"/>
      <c r="K52" s="12"/>
      <c r="L52" s="12">
        <v>0.967</v>
      </c>
      <c r="M52" s="12">
        <v>0.033</v>
      </c>
      <c r="N52" s="12"/>
      <c r="O52" s="12"/>
      <c r="P52" s="12"/>
    </row>
    <row r="53" s="2" customFormat="1" customHeight="1" spans="1:16">
      <c r="A53" s="2" t="s">
        <v>134</v>
      </c>
      <c r="B53" s="2" t="s">
        <v>21</v>
      </c>
      <c r="D53" s="2">
        <v>810</v>
      </c>
      <c r="E53" s="2" t="s">
        <v>37</v>
      </c>
      <c r="F53" s="2" t="s">
        <v>21</v>
      </c>
      <c r="G53" s="8"/>
      <c r="H53" s="8"/>
      <c r="I53" s="21" t="s">
        <v>135</v>
      </c>
      <c r="J53" s="12">
        <v>671</v>
      </c>
      <c r="K53" s="12">
        <v>139</v>
      </c>
      <c r="L53" s="12"/>
      <c r="M53" s="12"/>
      <c r="N53" s="12"/>
      <c r="O53" s="12"/>
      <c r="P53" s="12"/>
    </row>
    <row r="54" s="2" customFormat="1" customHeight="1" spans="1:16">
      <c r="A54" s="2" t="s">
        <v>136</v>
      </c>
      <c r="B54" s="2" t="s">
        <v>21</v>
      </c>
      <c r="C54" s="2" t="s">
        <v>25</v>
      </c>
      <c r="D54" s="2">
        <v>242</v>
      </c>
      <c r="E54" s="2" t="s">
        <v>23</v>
      </c>
      <c r="F54" s="2" t="s">
        <v>21</v>
      </c>
      <c r="G54" s="8">
        <v>40.83</v>
      </c>
      <c r="H54" s="8">
        <v>4.08</v>
      </c>
      <c r="I54" s="21" t="s">
        <v>137</v>
      </c>
      <c r="J54" s="12"/>
      <c r="K54" s="12"/>
      <c r="L54" s="12">
        <v>0.42</v>
      </c>
      <c r="M54" s="12">
        <v>0.52</v>
      </c>
      <c r="N54" s="12"/>
      <c r="O54" s="12"/>
      <c r="P54" s="12"/>
    </row>
    <row r="55" s="2" customFormat="1" customHeight="1" spans="1:16">
      <c r="A55" s="2" t="s">
        <v>136</v>
      </c>
      <c r="B55" s="2" t="s">
        <v>21</v>
      </c>
      <c r="C55" s="2" t="s">
        <v>22</v>
      </c>
      <c r="D55" s="2">
        <v>334</v>
      </c>
      <c r="E55" s="2" t="s">
        <v>23</v>
      </c>
      <c r="F55" s="2" t="s">
        <v>21</v>
      </c>
      <c r="G55" s="8">
        <v>39.8699999999999</v>
      </c>
      <c r="H55" s="8">
        <v>4.28</v>
      </c>
      <c r="I55" s="21" t="s">
        <v>138</v>
      </c>
      <c r="J55" s="12"/>
      <c r="K55" s="12"/>
      <c r="L55" s="12">
        <v>0.46</v>
      </c>
      <c r="M55" s="12">
        <v>0.49</v>
      </c>
      <c r="N55" s="12"/>
      <c r="O55" s="12"/>
      <c r="P55" s="12"/>
    </row>
    <row r="56" s="2" customFormat="1" customHeight="1" spans="1:16">
      <c r="A56" s="2" t="s">
        <v>139</v>
      </c>
      <c r="B56" s="2" t="s">
        <v>21</v>
      </c>
      <c r="D56" s="2">
        <v>340</v>
      </c>
      <c r="E56" s="2" t="s">
        <v>23</v>
      </c>
      <c r="F56" s="2" t="s">
        <v>21</v>
      </c>
      <c r="G56" s="8">
        <v>27.76</v>
      </c>
      <c r="H56" s="8">
        <v>4.63</v>
      </c>
      <c r="I56" s="21" t="s">
        <v>140</v>
      </c>
      <c r="J56" s="12"/>
      <c r="K56" s="12"/>
      <c r="L56" s="12"/>
      <c r="M56" s="12"/>
      <c r="N56" s="12"/>
      <c r="O56" s="12"/>
      <c r="P56" s="12"/>
    </row>
    <row r="57" s="2" customFormat="1" customHeight="1" spans="1:16">
      <c r="A57" s="2" t="s">
        <v>141</v>
      </c>
      <c r="B57" s="2" t="s">
        <v>21</v>
      </c>
      <c r="C57" s="2" t="s">
        <v>25</v>
      </c>
      <c r="D57" s="2">
        <v>151</v>
      </c>
      <c r="E57" s="2" t="s">
        <v>23</v>
      </c>
      <c r="F57" s="2" t="s">
        <v>21</v>
      </c>
      <c r="G57" s="8"/>
      <c r="H57" s="8"/>
      <c r="I57" s="21" t="s">
        <v>142</v>
      </c>
      <c r="J57" s="12">
        <v>0.715</v>
      </c>
      <c r="K57" s="12">
        <v>0.285</v>
      </c>
      <c r="L57" s="12">
        <v>0.868</v>
      </c>
      <c r="M57" s="12">
        <v>0.132</v>
      </c>
      <c r="N57" s="12"/>
      <c r="O57" s="12"/>
      <c r="P57" s="12"/>
    </row>
    <row r="58" s="2" customFormat="1" customHeight="1" spans="1:16">
      <c r="A58" s="2" t="s">
        <v>141</v>
      </c>
      <c r="B58" s="2" t="s">
        <v>21</v>
      </c>
      <c r="C58" s="2" t="s">
        <v>22</v>
      </c>
      <c r="D58" s="2">
        <v>1249</v>
      </c>
      <c r="E58" s="2" t="s">
        <v>23</v>
      </c>
      <c r="F58" s="2" t="s">
        <v>21</v>
      </c>
      <c r="G58" s="8"/>
      <c r="H58" s="8"/>
      <c r="I58" s="21" t="s">
        <v>142</v>
      </c>
      <c r="J58" s="12">
        <v>0.645</v>
      </c>
      <c r="K58" s="12">
        <v>0.355</v>
      </c>
      <c r="L58" s="12">
        <v>0.866</v>
      </c>
      <c r="M58" s="12">
        <v>0.134</v>
      </c>
      <c r="N58" s="12"/>
      <c r="O58" s="12"/>
      <c r="P58" s="12"/>
    </row>
    <row r="59" s="2" customFormat="1" customHeight="1" spans="1:16">
      <c r="A59" s="2" t="s">
        <v>143</v>
      </c>
      <c r="B59" s="2" t="s">
        <v>21</v>
      </c>
      <c r="D59" s="2">
        <v>102</v>
      </c>
      <c r="E59" s="2" t="s">
        <v>23</v>
      </c>
      <c r="F59" s="2" t="s">
        <v>21</v>
      </c>
      <c r="G59" s="8"/>
      <c r="H59" s="8"/>
      <c r="I59" s="21" t="s">
        <v>144</v>
      </c>
      <c r="J59" s="12"/>
      <c r="K59" s="12"/>
      <c r="L59" s="12"/>
      <c r="M59" s="12"/>
      <c r="N59" s="12"/>
      <c r="O59" s="12"/>
      <c r="P59" s="12"/>
    </row>
    <row r="60" s="2" customFormat="1" customHeight="1" spans="1:16">
      <c r="A60" s="2" t="s">
        <v>145</v>
      </c>
      <c r="B60" s="2" t="s">
        <v>21</v>
      </c>
      <c r="C60" s="2" t="s">
        <v>146</v>
      </c>
      <c r="D60" s="2">
        <v>100</v>
      </c>
      <c r="E60" s="2" t="s">
        <v>37</v>
      </c>
      <c r="F60" s="2" t="s">
        <v>21</v>
      </c>
      <c r="G60" s="8"/>
      <c r="H60" s="8"/>
      <c r="I60" s="21" t="s">
        <v>147</v>
      </c>
      <c r="J60" s="12">
        <v>95</v>
      </c>
      <c r="K60" s="12">
        <v>5</v>
      </c>
      <c r="L60" s="12">
        <v>100</v>
      </c>
      <c r="M60" s="12">
        <v>0</v>
      </c>
      <c r="N60" s="12"/>
      <c r="O60" s="12"/>
      <c r="P60" s="12"/>
    </row>
    <row r="61" s="2" customFormat="1" customHeight="1" spans="1:16">
      <c r="A61" s="2" t="s">
        <v>145</v>
      </c>
      <c r="B61" s="2" t="s">
        <v>21</v>
      </c>
      <c r="C61" s="2" t="s">
        <v>148</v>
      </c>
      <c r="D61" s="2">
        <v>100</v>
      </c>
      <c r="E61" s="2" t="s">
        <v>37</v>
      </c>
      <c r="F61" s="2" t="s">
        <v>21</v>
      </c>
      <c r="G61" s="8"/>
      <c r="H61" s="8"/>
      <c r="I61" s="21" t="s">
        <v>149</v>
      </c>
      <c r="J61" s="12">
        <v>94</v>
      </c>
      <c r="K61" s="12">
        <v>4</v>
      </c>
      <c r="L61" s="12">
        <v>98</v>
      </c>
      <c r="M61" s="12">
        <v>0</v>
      </c>
      <c r="N61" s="12"/>
      <c r="O61" s="12"/>
      <c r="P61" s="12"/>
    </row>
    <row r="62" s="2" customFormat="1" customHeight="1" spans="1:20">
      <c r="A62" s="2" t="s">
        <v>150</v>
      </c>
      <c r="B62" s="2" t="s">
        <v>21</v>
      </c>
      <c r="C62" s="2" t="s">
        <v>151</v>
      </c>
      <c r="D62" s="2">
        <v>27</v>
      </c>
      <c r="E62" s="2" t="s">
        <v>37</v>
      </c>
      <c r="F62" s="2" t="s">
        <v>21</v>
      </c>
      <c r="G62" s="2">
        <v>38.67</v>
      </c>
      <c r="H62" s="8">
        <v>8.67</v>
      </c>
      <c r="I62" s="21" t="s">
        <v>152</v>
      </c>
      <c r="J62" s="12">
        <v>10</v>
      </c>
      <c r="K62" s="12">
        <v>17</v>
      </c>
      <c r="L62" s="12">
        <v>23</v>
      </c>
      <c r="M62" s="12">
        <v>4</v>
      </c>
      <c r="N62" s="12"/>
      <c r="O62" s="12"/>
      <c r="P62" s="12">
        <v>0</v>
      </c>
      <c r="Q62" s="2">
        <v>1</v>
      </c>
      <c r="R62" s="2">
        <v>3</v>
      </c>
      <c r="S62" s="2">
        <v>13</v>
      </c>
      <c r="T62" s="2">
        <v>10</v>
      </c>
    </row>
    <row r="63" s="2" customFormat="1" customHeight="1" spans="1:20">
      <c r="A63" s="2" t="s">
        <v>150</v>
      </c>
      <c r="B63" s="2" t="s">
        <v>21</v>
      </c>
      <c r="C63" s="2" t="s">
        <v>153</v>
      </c>
      <c r="D63" s="2">
        <v>27</v>
      </c>
      <c r="E63" s="2" t="s">
        <v>37</v>
      </c>
      <c r="F63" s="2" t="s">
        <v>21</v>
      </c>
      <c r="G63" s="2">
        <v>44.15</v>
      </c>
      <c r="H63" s="2">
        <v>10.81</v>
      </c>
      <c r="I63" s="21" t="s">
        <v>154</v>
      </c>
      <c r="J63" s="12">
        <v>6</v>
      </c>
      <c r="K63" s="12">
        <v>21</v>
      </c>
      <c r="L63" s="12">
        <v>10</v>
      </c>
      <c r="M63" s="12">
        <v>17</v>
      </c>
      <c r="N63" s="12"/>
      <c r="O63" s="12"/>
      <c r="P63" s="12">
        <v>0</v>
      </c>
      <c r="Q63" s="2">
        <v>8</v>
      </c>
      <c r="R63" s="2">
        <v>9</v>
      </c>
      <c r="S63" s="2">
        <v>4</v>
      </c>
      <c r="T63" s="2">
        <v>6</v>
      </c>
    </row>
    <row r="64" s="2" customFormat="1" customHeight="1" spans="1:16">
      <c r="A64" s="2" t="s">
        <v>155</v>
      </c>
      <c r="B64" s="2" t="s">
        <v>21</v>
      </c>
      <c r="C64" s="2" t="s">
        <v>156</v>
      </c>
      <c r="D64" s="2">
        <v>18</v>
      </c>
      <c r="E64" s="2" t="s">
        <v>37</v>
      </c>
      <c r="F64" s="2" t="s">
        <v>21</v>
      </c>
      <c r="G64" s="2">
        <v>35.28</v>
      </c>
      <c r="H64" s="2">
        <v>8.33</v>
      </c>
      <c r="I64" s="21" t="s">
        <v>157</v>
      </c>
      <c r="J64" s="12"/>
      <c r="K64" s="12"/>
      <c r="L64" s="12">
        <v>0.889</v>
      </c>
      <c r="M64" s="12">
        <f>1-L64</f>
        <v>0.111</v>
      </c>
      <c r="N64" s="12"/>
      <c r="O64" s="12"/>
      <c r="P64" s="12"/>
    </row>
    <row r="65" s="2" customFormat="1" customHeight="1" spans="1:16">
      <c r="A65" s="2" t="s">
        <v>155</v>
      </c>
      <c r="B65" s="2" t="s">
        <v>21</v>
      </c>
      <c r="C65" s="2" t="s">
        <v>66</v>
      </c>
      <c r="D65" s="2">
        <v>18</v>
      </c>
      <c r="E65" s="2" t="s">
        <v>37</v>
      </c>
      <c r="F65" s="2" t="s">
        <v>21</v>
      </c>
      <c r="G65" s="2">
        <v>36.71</v>
      </c>
      <c r="H65" s="2">
        <v>8.17</v>
      </c>
      <c r="I65" s="21" t="s">
        <v>158</v>
      </c>
      <c r="J65" s="12"/>
      <c r="K65" s="12"/>
      <c r="L65" s="12">
        <v>0.944</v>
      </c>
      <c r="M65" s="12">
        <f>1-L65</f>
        <v>0.056</v>
      </c>
      <c r="N65" s="12"/>
      <c r="O65" s="12"/>
      <c r="P65" s="12"/>
    </row>
    <row r="66" s="2" customFormat="1" customHeight="1" spans="1:16">
      <c r="A66" s="2" t="s">
        <v>159</v>
      </c>
      <c r="B66" s="2" t="s">
        <v>21</v>
      </c>
      <c r="D66" s="2">
        <v>157</v>
      </c>
      <c r="E66" s="2" t="s">
        <v>37</v>
      </c>
      <c r="F66" s="2" t="s">
        <v>21</v>
      </c>
      <c r="G66" s="2">
        <v>33.05</v>
      </c>
      <c r="H66" s="2">
        <v>7.32</v>
      </c>
      <c r="I66" s="21" t="s">
        <v>160</v>
      </c>
      <c r="J66" s="12"/>
      <c r="K66" s="12"/>
      <c r="L66" s="12"/>
      <c r="M66" s="12"/>
      <c r="N66" s="12"/>
      <c r="O66" s="12"/>
      <c r="P66" s="12"/>
    </row>
    <row r="67" s="2" customFormat="1" customHeight="1" spans="1:20">
      <c r="A67" s="2" t="s">
        <v>161</v>
      </c>
      <c r="B67" s="2" t="s">
        <v>21</v>
      </c>
      <c r="C67" s="2" t="s">
        <v>162</v>
      </c>
      <c r="D67" s="2">
        <v>43</v>
      </c>
      <c r="E67" s="2" t="s">
        <v>37</v>
      </c>
      <c r="F67" s="2" t="s">
        <v>21</v>
      </c>
      <c r="G67" s="2">
        <v>43.86</v>
      </c>
      <c r="H67" s="2">
        <v>8.4</v>
      </c>
      <c r="I67" s="21" t="s">
        <v>163</v>
      </c>
      <c r="J67" s="12">
        <v>15</v>
      </c>
      <c r="K67" s="12">
        <v>28</v>
      </c>
      <c r="L67" s="12">
        <v>29</v>
      </c>
      <c r="M67" s="12">
        <v>14</v>
      </c>
      <c r="N67" s="12"/>
      <c r="O67" s="12"/>
      <c r="P67" s="12">
        <v>0</v>
      </c>
      <c r="Q67" s="2">
        <v>2</v>
      </c>
      <c r="R67" s="2">
        <v>12</v>
      </c>
      <c r="S67" s="2">
        <v>14</v>
      </c>
      <c r="T67" s="2">
        <v>15</v>
      </c>
    </row>
    <row r="68" s="2" customFormat="1" customHeight="1" spans="1:16">
      <c r="A68" s="2" t="s">
        <v>161</v>
      </c>
      <c r="B68" s="2" t="s">
        <v>21</v>
      </c>
      <c r="C68" s="2" t="s">
        <v>89</v>
      </c>
      <c r="D68" s="2">
        <v>71</v>
      </c>
      <c r="E68" s="2" t="s">
        <v>37</v>
      </c>
      <c r="F68" s="2" t="s">
        <v>21</v>
      </c>
      <c r="G68" s="2">
        <v>44.34</v>
      </c>
      <c r="H68" s="2">
        <v>9.49</v>
      </c>
      <c r="I68" s="21" t="s">
        <v>164</v>
      </c>
      <c r="J68" s="12">
        <v>22</v>
      </c>
      <c r="K68" s="12">
        <v>49</v>
      </c>
      <c r="L68" s="12">
        <v>45</v>
      </c>
      <c r="M68" s="12">
        <v>26</v>
      </c>
      <c r="N68" s="12"/>
      <c r="O68" s="12"/>
      <c r="P68" s="12"/>
    </row>
    <row r="69" s="2" customFormat="1" customHeight="1" spans="1:16">
      <c r="A69" s="2" t="s">
        <v>165</v>
      </c>
      <c r="B69" s="2" t="s">
        <v>21</v>
      </c>
      <c r="C69" s="2" t="s">
        <v>166</v>
      </c>
      <c r="D69" s="2">
        <v>120</v>
      </c>
      <c r="E69" s="2" t="s">
        <v>23</v>
      </c>
      <c r="F69" s="2" t="s">
        <v>21</v>
      </c>
      <c r="G69" s="2">
        <v>30.8</v>
      </c>
      <c r="H69" s="8"/>
      <c r="I69" s="21" t="s">
        <v>167</v>
      </c>
      <c r="J69" s="12"/>
      <c r="K69" s="12"/>
      <c r="L69" s="12"/>
      <c r="M69" s="12"/>
      <c r="N69" s="12">
        <v>17.73</v>
      </c>
      <c r="O69" s="12"/>
      <c r="P69" s="12"/>
    </row>
    <row r="70" s="2" customFormat="1" customHeight="1" spans="1:20">
      <c r="A70" s="2" t="s">
        <v>168</v>
      </c>
      <c r="B70" s="2" t="s">
        <v>21</v>
      </c>
      <c r="C70" s="2" t="s">
        <v>169</v>
      </c>
      <c r="D70" s="2">
        <v>78</v>
      </c>
      <c r="E70" s="2" t="s">
        <v>37</v>
      </c>
      <c r="F70" s="2" t="s">
        <v>21</v>
      </c>
      <c r="G70" s="2">
        <v>27.32</v>
      </c>
      <c r="H70" s="2">
        <v>8.74</v>
      </c>
      <c r="I70" s="21" t="s">
        <v>170</v>
      </c>
      <c r="J70" s="12">
        <v>46</v>
      </c>
      <c r="K70" s="12">
        <v>32</v>
      </c>
      <c r="L70" s="12"/>
      <c r="M70" s="12"/>
      <c r="N70" s="12"/>
      <c r="O70" s="12"/>
      <c r="P70" s="12">
        <v>0</v>
      </c>
      <c r="Q70" s="2">
        <v>2</v>
      </c>
      <c r="R70" s="2" t="s">
        <v>171</v>
      </c>
      <c r="T70" s="2">
        <v>46</v>
      </c>
    </row>
    <row r="71" s="2" customFormat="1" customHeight="1" spans="1:20">
      <c r="A71" s="2" t="s">
        <v>168</v>
      </c>
      <c r="B71" s="2" t="s">
        <v>21</v>
      </c>
      <c r="C71" s="2" t="s">
        <v>172</v>
      </c>
      <c r="D71" s="2">
        <v>128</v>
      </c>
      <c r="E71" s="2" t="s">
        <v>37</v>
      </c>
      <c r="F71" s="2" t="s">
        <v>21</v>
      </c>
      <c r="G71" s="2">
        <v>29.87</v>
      </c>
      <c r="H71" s="2">
        <v>10.89</v>
      </c>
      <c r="I71" s="21" t="s">
        <v>173</v>
      </c>
      <c r="J71" s="12">
        <v>57</v>
      </c>
      <c r="K71" s="12">
        <v>71</v>
      </c>
      <c r="L71" s="12"/>
      <c r="M71" s="12"/>
      <c r="N71" s="12"/>
      <c r="O71" s="12"/>
      <c r="P71" s="12">
        <v>0</v>
      </c>
      <c r="Q71" s="2">
        <v>2</v>
      </c>
      <c r="R71" s="2" t="s">
        <v>78</v>
      </c>
      <c r="T71" s="2">
        <v>57</v>
      </c>
    </row>
    <row r="72" s="2" customFormat="1" customHeight="1" spans="1:20">
      <c r="A72" s="2" t="s">
        <v>174</v>
      </c>
      <c r="B72" s="2" t="s">
        <v>21</v>
      </c>
      <c r="D72" s="2">
        <v>239</v>
      </c>
      <c r="E72" s="2" t="s">
        <v>23</v>
      </c>
      <c r="F72" s="2" t="s">
        <v>21</v>
      </c>
      <c r="G72" s="2">
        <v>65.68</v>
      </c>
      <c r="H72" s="2">
        <v>6.16</v>
      </c>
      <c r="I72" s="21" t="s">
        <v>175</v>
      </c>
      <c r="J72" s="12">
        <v>37</v>
      </c>
      <c r="K72" s="12">
        <v>202</v>
      </c>
      <c r="L72" s="12">
        <v>110</v>
      </c>
      <c r="M72" s="12">
        <v>129</v>
      </c>
      <c r="N72" s="12">
        <v>9.81</v>
      </c>
      <c r="O72" s="12">
        <v>2.77</v>
      </c>
      <c r="P72" s="12">
        <v>0</v>
      </c>
      <c r="Q72" s="2">
        <v>40</v>
      </c>
      <c r="R72" s="2">
        <v>89</v>
      </c>
      <c r="S72" s="2">
        <v>73</v>
      </c>
      <c r="T72" s="2">
        <v>37</v>
      </c>
    </row>
    <row r="73" s="2" customFormat="1" customHeight="1" spans="1:16">
      <c r="A73" s="2" t="s">
        <v>176</v>
      </c>
      <c r="B73" s="2" t="s">
        <v>21</v>
      </c>
      <c r="C73" s="2" t="s">
        <v>25</v>
      </c>
      <c r="D73" s="2">
        <v>81</v>
      </c>
      <c r="E73" s="2" t="s">
        <v>23</v>
      </c>
      <c r="F73" s="2" t="s">
        <v>21</v>
      </c>
      <c r="G73" s="8"/>
      <c r="H73" s="8"/>
      <c r="I73" s="21" t="s">
        <v>177</v>
      </c>
      <c r="J73" s="12"/>
      <c r="K73" s="12"/>
      <c r="L73" s="12"/>
      <c r="M73" s="12"/>
      <c r="N73" s="12"/>
      <c r="O73" s="12"/>
      <c r="P73" s="12"/>
    </row>
    <row r="74" s="2" customFormat="1" customHeight="1" spans="1:16">
      <c r="A74" s="2" t="s">
        <v>176</v>
      </c>
      <c r="B74" s="2" t="s">
        <v>21</v>
      </c>
      <c r="C74" s="2" t="s">
        <v>22</v>
      </c>
      <c r="D74" s="2">
        <v>258</v>
      </c>
      <c r="E74" s="2" t="s">
        <v>23</v>
      </c>
      <c r="F74" s="2" t="s">
        <v>21</v>
      </c>
      <c r="G74" s="8"/>
      <c r="H74" s="8"/>
      <c r="I74" s="21" t="s">
        <v>177</v>
      </c>
      <c r="J74" s="12"/>
      <c r="K74" s="12"/>
      <c r="L74" s="12"/>
      <c r="M74" s="12"/>
      <c r="N74" s="12"/>
      <c r="O74" s="12"/>
      <c r="P74" s="12"/>
    </row>
    <row r="75" s="2" customFormat="1" customHeight="1" spans="1:16">
      <c r="A75" s="2" t="s">
        <v>178</v>
      </c>
      <c r="B75" s="2" t="s">
        <v>21</v>
      </c>
      <c r="C75" s="2" t="s">
        <v>25</v>
      </c>
      <c r="D75" s="2">
        <v>280</v>
      </c>
      <c r="E75" s="2" t="s">
        <v>23</v>
      </c>
      <c r="F75" s="2" t="s">
        <v>21</v>
      </c>
      <c r="G75" s="8">
        <v>36.61</v>
      </c>
      <c r="H75" s="8">
        <v>4.06</v>
      </c>
      <c r="I75" s="21" t="s">
        <v>179</v>
      </c>
      <c r="J75" s="12">
        <v>0.93</v>
      </c>
      <c r="K75" s="12">
        <v>0.07</v>
      </c>
      <c r="L75" s="12"/>
      <c r="M75" s="12"/>
      <c r="N75" s="12"/>
      <c r="O75" s="12"/>
      <c r="P75" s="12"/>
    </row>
    <row r="76" s="2" customFormat="1" customHeight="1" spans="1:16">
      <c r="A76" s="2" t="s">
        <v>178</v>
      </c>
      <c r="B76" s="2" t="s">
        <v>21</v>
      </c>
      <c r="C76" s="2" t="s">
        <v>22</v>
      </c>
      <c r="D76" s="2">
        <v>280</v>
      </c>
      <c r="E76" s="2" t="s">
        <v>23</v>
      </c>
      <c r="F76" s="2" t="s">
        <v>21</v>
      </c>
      <c r="G76" s="8">
        <v>34.24</v>
      </c>
      <c r="H76" s="8">
        <v>3.38</v>
      </c>
      <c r="I76" s="21" t="s">
        <v>179</v>
      </c>
      <c r="J76" s="12">
        <v>0.934</v>
      </c>
      <c r="K76" s="12">
        <v>0.066</v>
      </c>
      <c r="L76" s="12"/>
      <c r="M76" s="12"/>
      <c r="N76" s="12"/>
      <c r="O76" s="12"/>
      <c r="P76" s="12"/>
    </row>
    <row r="77" s="2" customFormat="1" customHeight="1" spans="1:16">
      <c r="A77" s="2" t="s">
        <v>180</v>
      </c>
      <c r="B77" s="2" t="s">
        <v>21</v>
      </c>
      <c r="D77" s="2">
        <v>301</v>
      </c>
      <c r="E77" s="2" t="s">
        <v>37</v>
      </c>
      <c r="F77" s="2" t="s">
        <v>21</v>
      </c>
      <c r="G77" s="8"/>
      <c r="H77" s="8"/>
      <c r="I77" s="21" t="s">
        <v>181</v>
      </c>
      <c r="J77" s="12">
        <v>0.9335</v>
      </c>
      <c r="K77" s="12">
        <f>1-J77</f>
        <v>0.0665</v>
      </c>
      <c r="L77" s="12"/>
      <c r="M77" s="12"/>
      <c r="N77" s="12"/>
      <c r="O77" s="12"/>
      <c r="P77" s="12"/>
    </row>
    <row r="78" s="2" customFormat="1" customHeight="1" spans="1:16">
      <c r="A78" s="2" t="s">
        <v>182</v>
      </c>
      <c r="B78" s="2" t="s">
        <v>21</v>
      </c>
      <c r="C78" s="2" t="s">
        <v>183</v>
      </c>
      <c r="D78" s="2">
        <v>106</v>
      </c>
      <c r="E78" s="2" t="s">
        <v>37</v>
      </c>
      <c r="F78" s="2" t="s">
        <v>21</v>
      </c>
      <c r="G78" s="8">
        <v>29.62</v>
      </c>
      <c r="H78" s="8">
        <v>3.37</v>
      </c>
      <c r="I78" s="21" t="s">
        <v>184</v>
      </c>
      <c r="J78" s="12">
        <v>0.981</v>
      </c>
      <c r="K78" s="12">
        <f>1-J78</f>
        <v>0.019</v>
      </c>
      <c r="L78" s="12">
        <v>1</v>
      </c>
      <c r="M78" s="12">
        <v>0</v>
      </c>
      <c r="N78" s="12"/>
      <c r="O78" s="12"/>
      <c r="P78" s="12"/>
    </row>
    <row r="79" s="2" customFormat="1" customHeight="1" spans="1:16">
      <c r="A79" s="2" t="s">
        <v>182</v>
      </c>
      <c r="B79" s="2" t="s">
        <v>21</v>
      </c>
      <c r="C79" s="2" t="s">
        <v>185</v>
      </c>
      <c r="D79" s="2">
        <v>106</v>
      </c>
      <c r="E79" s="2" t="s">
        <v>37</v>
      </c>
      <c r="F79" s="2" t="s">
        <v>21</v>
      </c>
      <c r="G79" s="8">
        <v>28</v>
      </c>
      <c r="H79" s="8">
        <v>2.26</v>
      </c>
      <c r="I79" s="21" t="s">
        <v>184</v>
      </c>
      <c r="J79" s="12">
        <v>0.943</v>
      </c>
      <c r="K79" s="12">
        <v>0.037</v>
      </c>
      <c r="L79" s="12">
        <v>0.971</v>
      </c>
      <c r="M79" s="12">
        <v>0.009</v>
      </c>
      <c r="N79" s="12"/>
      <c r="O79" s="12"/>
      <c r="P79" s="12"/>
    </row>
    <row r="80" s="2" customFormat="1" customHeight="1" spans="1:16">
      <c r="A80" s="2" t="s">
        <v>186</v>
      </c>
      <c r="B80" s="2" t="s">
        <v>21</v>
      </c>
      <c r="D80" s="2">
        <v>128</v>
      </c>
      <c r="E80" s="2" t="s">
        <v>37</v>
      </c>
      <c r="F80" s="2" t="s">
        <v>21</v>
      </c>
      <c r="G80" s="8">
        <v>30.96</v>
      </c>
      <c r="H80" s="8">
        <v>8.08</v>
      </c>
      <c r="I80" s="21" t="s">
        <v>187</v>
      </c>
      <c r="J80" s="12">
        <v>115</v>
      </c>
      <c r="K80" s="12">
        <v>13</v>
      </c>
      <c r="L80" s="12"/>
      <c r="M80" s="12"/>
      <c r="N80" s="12"/>
      <c r="O80" s="12"/>
      <c r="P80" s="12"/>
    </row>
    <row r="81" s="2" customFormat="1" customHeight="1" spans="1:16">
      <c r="A81" s="2" t="s">
        <v>186</v>
      </c>
      <c r="B81" s="2" t="s">
        <v>188</v>
      </c>
      <c r="D81" s="2">
        <v>120</v>
      </c>
      <c r="E81" s="2" t="s">
        <v>37</v>
      </c>
      <c r="F81" s="2" t="s">
        <v>21</v>
      </c>
      <c r="G81" s="8">
        <v>29.43</v>
      </c>
      <c r="H81" s="8">
        <v>6.24</v>
      </c>
      <c r="I81" s="21" t="s">
        <v>189</v>
      </c>
      <c r="J81" s="12">
        <v>114</v>
      </c>
      <c r="K81" s="12">
        <v>6</v>
      </c>
      <c r="L81" s="12"/>
      <c r="M81" s="12"/>
      <c r="N81" s="12"/>
      <c r="O81" s="12"/>
      <c r="P81" s="12"/>
    </row>
    <row r="82" s="2" customFormat="1" customHeight="1" spans="1:16">
      <c r="A82" s="2" t="s">
        <v>186</v>
      </c>
      <c r="B82" s="2" t="s">
        <v>190</v>
      </c>
      <c r="D82" s="2">
        <v>113</v>
      </c>
      <c r="E82" s="2" t="s">
        <v>37</v>
      </c>
      <c r="F82" s="2" t="s">
        <v>21</v>
      </c>
      <c r="G82" s="8">
        <v>28.56</v>
      </c>
      <c r="H82" s="8">
        <v>6.55</v>
      </c>
      <c r="I82" s="21" t="s">
        <v>191</v>
      </c>
      <c r="J82" s="12">
        <v>106</v>
      </c>
      <c r="K82" s="12">
        <v>7</v>
      </c>
      <c r="L82" s="12"/>
      <c r="M82" s="12"/>
      <c r="N82" s="12"/>
      <c r="O82" s="12"/>
      <c r="P82" s="12"/>
    </row>
    <row r="83" s="2" customFormat="1" customHeight="1" spans="1:16">
      <c r="A83" s="2" t="s">
        <v>186</v>
      </c>
      <c r="B83" s="2" t="s">
        <v>63</v>
      </c>
      <c r="D83" s="2">
        <v>113</v>
      </c>
      <c r="E83" s="2" t="s">
        <v>37</v>
      </c>
      <c r="F83" s="2" t="s">
        <v>21</v>
      </c>
      <c r="G83" s="8">
        <v>29.64</v>
      </c>
      <c r="H83" s="8">
        <v>6.93</v>
      </c>
      <c r="I83" s="21" t="s">
        <v>192</v>
      </c>
      <c r="J83" s="12">
        <v>103</v>
      </c>
      <c r="K83" s="12">
        <v>10</v>
      </c>
      <c r="L83" s="12"/>
      <c r="M83" s="12"/>
      <c r="N83" s="12"/>
      <c r="O83" s="12"/>
      <c r="P83" s="12"/>
    </row>
    <row r="84" s="2" customFormat="1" customHeight="1" spans="1:20">
      <c r="A84" s="2" t="s">
        <v>193</v>
      </c>
      <c r="B84" s="2" t="s">
        <v>21</v>
      </c>
      <c r="D84" s="2">
        <v>557</v>
      </c>
      <c r="E84" s="2" t="s">
        <v>37</v>
      </c>
      <c r="F84" s="2" t="s">
        <v>21</v>
      </c>
      <c r="G84" s="8">
        <v>32.51</v>
      </c>
      <c r="H84" s="8">
        <v>9.53</v>
      </c>
      <c r="I84" s="21" t="s">
        <v>194</v>
      </c>
      <c r="J84" s="12">
        <v>486</v>
      </c>
      <c r="K84" s="12">
        <v>71</v>
      </c>
      <c r="L84" s="12">
        <v>545</v>
      </c>
      <c r="M84" s="12">
        <v>12</v>
      </c>
      <c r="N84" s="12">
        <v>16.78</v>
      </c>
      <c r="O84" s="12">
        <v>3.72</v>
      </c>
      <c r="P84" s="12">
        <v>0</v>
      </c>
      <c r="Q84" s="2">
        <v>2</v>
      </c>
      <c r="R84" s="2">
        <v>10</v>
      </c>
      <c r="S84" s="2">
        <v>59</v>
      </c>
      <c r="T84" s="2">
        <v>486</v>
      </c>
    </row>
    <row r="85" s="2" customFormat="1" customHeight="1" spans="1:16">
      <c r="A85" s="2" t="s">
        <v>195</v>
      </c>
      <c r="B85" s="2" t="s">
        <v>21</v>
      </c>
      <c r="C85" s="2" t="s">
        <v>196</v>
      </c>
      <c r="D85" s="2">
        <v>1144</v>
      </c>
      <c r="E85" s="2" t="s">
        <v>23</v>
      </c>
      <c r="F85" s="2" t="s">
        <v>21</v>
      </c>
      <c r="G85" s="8" t="s">
        <v>197</v>
      </c>
      <c r="H85" s="8" t="s">
        <v>198</v>
      </c>
      <c r="I85" s="21" t="s">
        <v>199</v>
      </c>
      <c r="J85" s="12"/>
      <c r="K85" s="12"/>
      <c r="L85" s="12"/>
      <c r="M85" s="12"/>
      <c r="N85" s="12"/>
      <c r="O85" s="12"/>
      <c r="P85" s="12"/>
    </row>
    <row r="86" s="2" customFormat="1" customHeight="1" spans="1:16">
      <c r="A86" s="2" t="s">
        <v>200</v>
      </c>
      <c r="B86" s="2" t="s">
        <v>21</v>
      </c>
      <c r="D86" s="2">
        <v>426</v>
      </c>
      <c r="E86" s="2" t="s">
        <v>23</v>
      </c>
      <c r="F86" s="2" t="s">
        <v>21</v>
      </c>
      <c r="G86" s="8">
        <v>36.67</v>
      </c>
      <c r="H86" s="8">
        <v>3.52</v>
      </c>
      <c r="I86" s="21" t="s">
        <v>201</v>
      </c>
      <c r="J86" s="12">
        <v>426</v>
      </c>
      <c r="K86" s="12">
        <v>0</v>
      </c>
      <c r="L86" s="12">
        <v>426</v>
      </c>
      <c r="M86" s="12">
        <v>0</v>
      </c>
      <c r="N86" s="12"/>
      <c r="O86" s="12"/>
      <c r="P86" s="12"/>
    </row>
    <row r="87" s="2" customFormat="1" customHeight="1" spans="1:16">
      <c r="A87" s="2" t="s">
        <v>202</v>
      </c>
      <c r="B87" s="2" t="s">
        <v>21</v>
      </c>
      <c r="C87" s="2" t="s">
        <v>203</v>
      </c>
      <c r="D87" s="2">
        <v>24</v>
      </c>
      <c r="E87" s="2" t="s">
        <v>23</v>
      </c>
      <c r="F87" s="2" t="s">
        <v>21</v>
      </c>
      <c r="G87" s="2">
        <v>23.54</v>
      </c>
      <c r="H87" s="2">
        <v>2.52</v>
      </c>
      <c r="I87" s="21" t="s">
        <v>204</v>
      </c>
      <c r="J87" s="12"/>
      <c r="K87" s="12"/>
      <c r="L87" s="12">
        <v>24</v>
      </c>
      <c r="M87" s="12">
        <v>0</v>
      </c>
      <c r="N87" s="12"/>
      <c r="O87" s="12"/>
      <c r="P87" s="12"/>
    </row>
    <row r="88" s="2" customFormat="1" customHeight="1" spans="1:16">
      <c r="A88" s="2" t="s">
        <v>202</v>
      </c>
      <c r="B88" s="2" t="s">
        <v>21</v>
      </c>
      <c r="C88" s="2" t="s">
        <v>205</v>
      </c>
      <c r="D88" s="2">
        <v>24</v>
      </c>
      <c r="E88" s="2" t="s">
        <v>23</v>
      </c>
      <c r="F88" s="2" t="s">
        <v>21</v>
      </c>
      <c r="G88" s="2">
        <v>64.42</v>
      </c>
      <c r="H88" s="2">
        <v>7.49</v>
      </c>
      <c r="I88" s="21" t="s">
        <v>204</v>
      </c>
      <c r="J88" s="12"/>
      <c r="K88" s="12"/>
      <c r="L88" s="12">
        <v>24</v>
      </c>
      <c r="M88" s="12">
        <v>0</v>
      </c>
      <c r="N88" s="12"/>
      <c r="O88" s="12"/>
      <c r="P88" s="12"/>
    </row>
    <row r="89" s="2" customFormat="1" customHeight="1" spans="1:16">
      <c r="A89" s="2" t="s">
        <v>206</v>
      </c>
      <c r="B89" s="2" t="s">
        <v>21</v>
      </c>
      <c r="C89" s="2" t="s">
        <v>207</v>
      </c>
      <c r="D89" s="2">
        <v>17</v>
      </c>
      <c r="E89" s="2" t="s">
        <v>23</v>
      </c>
      <c r="F89" s="2" t="s">
        <v>21</v>
      </c>
      <c r="G89" s="2">
        <v>38.76</v>
      </c>
      <c r="H89" s="2">
        <v>5.25</v>
      </c>
      <c r="I89" s="21" t="s">
        <v>208</v>
      </c>
      <c r="J89" s="12"/>
      <c r="K89" s="12"/>
      <c r="L89" s="12"/>
      <c r="M89" s="12"/>
      <c r="N89" s="12">
        <v>10.71</v>
      </c>
      <c r="O89" s="12">
        <v>2.64</v>
      </c>
      <c r="P89" s="12"/>
    </row>
    <row r="90" s="2" customFormat="1" customHeight="1" spans="1:16">
      <c r="A90" s="2" t="s">
        <v>206</v>
      </c>
      <c r="B90" s="2" t="s">
        <v>21</v>
      </c>
      <c r="C90" s="2" t="s">
        <v>89</v>
      </c>
      <c r="D90" s="2">
        <v>19</v>
      </c>
      <c r="E90" s="2" t="s">
        <v>23</v>
      </c>
      <c r="F90" s="2" t="s">
        <v>21</v>
      </c>
      <c r="G90" s="2">
        <v>36.53</v>
      </c>
      <c r="H90" s="2">
        <v>8.28999999999999</v>
      </c>
      <c r="I90" s="21" t="s">
        <v>209</v>
      </c>
      <c r="J90" s="12"/>
      <c r="K90" s="12"/>
      <c r="L90" s="12"/>
      <c r="M90" s="12"/>
      <c r="N90" s="12">
        <v>10.95</v>
      </c>
      <c r="O90" s="12">
        <v>4.36</v>
      </c>
      <c r="P90" s="12"/>
    </row>
    <row r="91" s="2" customFormat="1" customHeight="1" spans="1:16">
      <c r="A91" s="2" t="s">
        <v>210</v>
      </c>
      <c r="B91" s="2" t="s">
        <v>21</v>
      </c>
      <c r="D91" s="2">
        <v>326</v>
      </c>
      <c r="E91" s="2" t="s">
        <v>23</v>
      </c>
      <c r="F91" s="2" t="s">
        <v>21</v>
      </c>
      <c r="G91" s="8"/>
      <c r="H91" s="8"/>
      <c r="I91" s="21" t="s">
        <v>211</v>
      </c>
      <c r="J91" s="12">
        <v>326</v>
      </c>
      <c r="K91" s="12">
        <v>0</v>
      </c>
      <c r="L91" s="12">
        <v>326</v>
      </c>
      <c r="M91" s="12">
        <v>0</v>
      </c>
      <c r="N91" s="12"/>
      <c r="O91" s="12"/>
      <c r="P91" s="12"/>
    </row>
    <row r="92" s="2" customFormat="1" customHeight="1" spans="1:16">
      <c r="A92" s="2" t="s">
        <v>212</v>
      </c>
      <c r="B92" s="2" t="s">
        <v>21</v>
      </c>
      <c r="D92" s="2">
        <v>277</v>
      </c>
      <c r="E92" s="2" t="s">
        <v>23</v>
      </c>
      <c r="F92" s="2" t="s">
        <v>21</v>
      </c>
      <c r="G92" s="2">
        <v>47.26</v>
      </c>
      <c r="H92" s="2">
        <v>8.59</v>
      </c>
      <c r="I92" s="21" t="s">
        <v>213</v>
      </c>
      <c r="J92" s="12"/>
      <c r="K92" s="12"/>
      <c r="L92" s="12">
        <v>118</v>
      </c>
      <c r="M92" s="12">
        <v>159</v>
      </c>
      <c r="N92" s="12"/>
      <c r="O92" s="12"/>
      <c r="P92" s="12"/>
    </row>
    <row r="93" s="2" customFormat="1" customHeight="1" spans="1:16">
      <c r="A93" s="2" t="s">
        <v>214</v>
      </c>
      <c r="B93" s="2" t="s">
        <v>21</v>
      </c>
      <c r="D93" s="2">
        <v>477</v>
      </c>
      <c r="E93" s="2" t="s">
        <v>23</v>
      </c>
      <c r="F93" s="2" t="s">
        <v>21</v>
      </c>
      <c r="G93" s="8"/>
      <c r="H93" s="8"/>
      <c r="I93" s="21" t="s">
        <v>215</v>
      </c>
      <c r="J93" s="12">
        <v>324</v>
      </c>
      <c r="K93" s="12">
        <v>153</v>
      </c>
      <c r="L93" s="12"/>
      <c r="M93" s="12"/>
      <c r="N93" s="12"/>
      <c r="O93" s="12"/>
      <c r="P93" s="12"/>
    </row>
    <row r="94" s="2" customFormat="1" customHeight="1" spans="1:16">
      <c r="A94" s="2" t="s">
        <v>216</v>
      </c>
      <c r="B94" s="2" t="s">
        <v>21</v>
      </c>
      <c r="D94" s="2">
        <v>80</v>
      </c>
      <c r="E94" s="2" t="s">
        <v>23</v>
      </c>
      <c r="F94" s="2" t="s">
        <v>21</v>
      </c>
      <c r="G94" s="2">
        <v>30.51</v>
      </c>
      <c r="H94" s="2">
        <v>9.54</v>
      </c>
      <c r="I94" s="21" t="s">
        <v>217</v>
      </c>
      <c r="J94" s="12">
        <v>51</v>
      </c>
      <c r="K94" s="12">
        <v>29</v>
      </c>
      <c r="L94" s="12"/>
      <c r="M94" s="12"/>
      <c r="N94" s="12"/>
      <c r="O94" s="12"/>
      <c r="P94" s="12"/>
    </row>
    <row r="95" s="2" customFormat="1" customHeight="1" spans="1:16">
      <c r="A95" s="2" t="s">
        <v>218</v>
      </c>
      <c r="B95" s="2" t="s">
        <v>21</v>
      </c>
      <c r="C95" s="2" t="s">
        <v>219</v>
      </c>
      <c r="D95" s="2">
        <v>60</v>
      </c>
      <c r="E95" s="2" t="s">
        <v>23</v>
      </c>
      <c r="F95" s="2" t="s">
        <v>21</v>
      </c>
      <c r="G95" s="2">
        <v>59.85</v>
      </c>
      <c r="H95" s="2">
        <v>10.39</v>
      </c>
      <c r="I95" s="21" t="s">
        <v>220</v>
      </c>
      <c r="J95" s="12">
        <v>38</v>
      </c>
      <c r="K95" s="12">
        <v>22</v>
      </c>
      <c r="L95" s="12">
        <v>60</v>
      </c>
      <c r="M95" s="12">
        <v>0</v>
      </c>
      <c r="N95" s="12"/>
      <c r="O95" s="12"/>
      <c r="P95" s="12"/>
    </row>
    <row r="96" s="2" customFormat="1" customHeight="1" spans="1:16">
      <c r="A96" s="2" t="s">
        <v>218</v>
      </c>
      <c r="B96" s="2" t="s">
        <v>21</v>
      </c>
      <c r="C96" s="2" t="s">
        <v>221</v>
      </c>
      <c r="D96" s="2">
        <v>45</v>
      </c>
      <c r="E96" s="2" t="s">
        <v>23</v>
      </c>
      <c r="F96" s="2" t="s">
        <v>21</v>
      </c>
      <c r="G96" s="2">
        <v>53.63</v>
      </c>
      <c r="H96" s="2">
        <v>9.34</v>
      </c>
      <c r="I96" s="21" t="s">
        <v>222</v>
      </c>
      <c r="J96" s="12">
        <v>29</v>
      </c>
      <c r="K96" s="12">
        <v>16</v>
      </c>
      <c r="L96" s="12">
        <v>45</v>
      </c>
      <c r="M96" s="12">
        <v>0</v>
      </c>
      <c r="N96" s="12"/>
      <c r="O96" s="12"/>
      <c r="P96" s="12"/>
    </row>
    <row r="97" s="2" customFormat="1" customHeight="1" spans="1:16">
      <c r="A97" s="2" t="s">
        <v>218</v>
      </c>
      <c r="B97" s="2" t="s">
        <v>21</v>
      </c>
      <c r="C97" s="2" t="s">
        <v>223</v>
      </c>
      <c r="D97" s="2">
        <v>50</v>
      </c>
      <c r="E97" s="2" t="s">
        <v>23</v>
      </c>
      <c r="F97" s="2" t="s">
        <v>21</v>
      </c>
      <c r="G97" s="2">
        <v>57.3</v>
      </c>
      <c r="H97" s="2">
        <v>9.63</v>
      </c>
      <c r="I97" s="21" t="s">
        <v>224</v>
      </c>
      <c r="J97" s="12">
        <v>32</v>
      </c>
      <c r="K97" s="12">
        <v>18</v>
      </c>
      <c r="L97" s="12">
        <v>50</v>
      </c>
      <c r="M97" s="12">
        <v>0</v>
      </c>
      <c r="N97" s="12"/>
      <c r="O97" s="12"/>
      <c r="P97" s="12"/>
    </row>
    <row r="98" s="2" customFormat="1" customHeight="1" spans="1:16">
      <c r="A98" s="2" t="s">
        <v>225</v>
      </c>
      <c r="B98" s="2" t="s">
        <v>21</v>
      </c>
      <c r="D98" s="2">
        <v>258</v>
      </c>
      <c r="E98" s="2" t="s">
        <v>23</v>
      </c>
      <c r="F98" s="2" t="s">
        <v>21</v>
      </c>
      <c r="G98" s="2">
        <v>28.09</v>
      </c>
      <c r="H98" s="2">
        <v>7.131</v>
      </c>
      <c r="I98" s="21" t="s">
        <v>226</v>
      </c>
      <c r="J98" s="12"/>
      <c r="K98" s="12"/>
      <c r="L98" s="12">
        <v>259</v>
      </c>
      <c r="M98" s="12">
        <v>0</v>
      </c>
      <c r="N98" s="12"/>
      <c r="O98" s="12"/>
      <c r="P98" s="12"/>
    </row>
    <row r="99" s="2" customFormat="1" customHeight="1" spans="1:16">
      <c r="A99" s="2" t="s">
        <v>227</v>
      </c>
      <c r="B99" s="2" t="s">
        <v>21</v>
      </c>
      <c r="D99" s="2">
        <v>465</v>
      </c>
      <c r="E99" s="2" t="s">
        <v>23</v>
      </c>
      <c r="F99" s="2" t="s">
        <v>21</v>
      </c>
      <c r="G99" s="8"/>
      <c r="H99" s="8"/>
      <c r="I99" s="21" t="s">
        <v>228</v>
      </c>
      <c r="J99" s="12">
        <v>0</v>
      </c>
      <c r="K99" s="12">
        <v>465</v>
      </c>
      <c r="L99" s="12"/>
      <c r="M99" s="12"/>
      <c r="N99" s="12"/>
      <c r="O99" s="12"/>
      <c r="P99" s="12"/>
    </row>
    <row r="100" s="2" customFormat="1" customHeight="1" spans="1:16">
      <c r="A100" s="2" t="s">
        <v>229</v>
      </c>
      <c r="B100" s="2" t="s">
        <v>21</v>
      </c>
      <c r="D100" s="2">
        <v>428</v>
      </c>
      <c r="E100" s="2" t="s">
        <v>23</v>
      </c>
      <c r="F100" s="2" t="s">
        <v>21</v>
      </c>
      <c r="G100" s="8"/>
      <c r="H100" s="8"/>
      <c r="I100" s="21" t="s">
        <v>230</v>
      </c>
      <c r="J100" s="12"/>
      <c r="K100" s="12"/>
      <c r="L100" s="12"/>
      <c r="M100" s="12"/>
      <c r="N100" s="12"/>
      <c r="O100" s="12"/>
      <c r="P100" s="12"/>
    </row>
    <row r="101" s="2" customFormat="1" customHeight="1" spans="1:16">
      <c r="A101" s="2" t="s">
        <v>231</v>
      </c>
      <c r="B101" s="2" t="s">
        <v>21</v>
      </c>
      <c r="C101" s="2" t="s">
        <v>232</v>
      </c>
      <c r="D101" s="2">
        <v>30</v>
      </c>
      <c r="E101" s="2" t="s">
        <v>23</v>
      </c>
      <c r="F101" s="2" t="s">
        <v>21</v>
      </c>
      <c r="G101" s="2">
        <v>22.73</v>
      </c>
      <c r="H101" s="2">
        <v>2.89</v>
      </c>
      <c r="I101" s="21" t="s">
        <v>233</v>
      </c>
      <c r="J101" s="12"/>
      <c r="K101" s="12"/>
      <c r="L101" s="12"/>
      <c r="M101" s="12"/>
      <c r="N101" s="12">
        <v>16.27</v>
      </c>
      <c r="O101" s="12">
        <v>1.74</v>
      </c>
      <c r="P101" s="12"/>
    </row>
    <row r="102" s="2" customFormat="1" customHeight="1" spans="1:16">
      <c r="A102" s="2" t="s">
        <v>231</v>
      </c>
      <c r="B102" s="2" t="s">
        <v>21</v>
      </c>
      <c r="C102" s="2" t="s">
        <v>234</v>
      </c>
      <c r="D102" s="2">
        <v>30</v>
      </c>
      <c r="E102" s="2" t="s">
        <v>23</v>
      </c>
      <c r="F102" s="2" t="s">
        <v>21</v>
      </c>
      <c r="G102" s="2">
        <v>68.17</v>
      </c>
      <c r="H102" s="2">
        <v>5.63</v>
      </c>
      <c r="I102" s="21" t="s">
        <v>235</v>
      </c>
      <c r="J102" s="12"/>
      <c r="K102" s="12"/>
      <c r="L102" s="12"/>
      <c r="M102" s="12"/>
      <c r="N102" s="12">
        <v>14.63</v>
      </c>
      <c r="O102" s="12">
        <v>2.16</v>
      </c>
      <c r="P102" s="12"/>
    </row>
    <row r="103" s="2" customFormat="1" customHeight="1" spans="1:16">
      <c r="A103" s="2" t="s">
        <v>231</v>
      </c>
      <c r="B103" s="2" t="s">
        <v>21</v>
      </c>
      <c r="C103" s="2" t="s">
        <v>232</v>
      </c>
      <c r="D103" s="2">
        <v>30</v>
      </c>
      <c r="E103" s="2" t="s">
        <v>23</v>
      </c>
      <c r="F103" s="2" t="s">
        <v>21</v>
      </c>
      <c r="G103" s="2">
        <v>22.47</v>
      </c>
      <c r="H103" s="2">
        <v>1.94</v>
      </c>
      <c r="I103" s="21" t="s">
        <v>236</v>
      </c>
      <c r="J103" s="12"/>
      <c r="K103" s="12"/>
      <c r="L103" s="12"/>
      <c r="M103" s="12"/>
      <c r="N103" s="12">
        <v>16.07</v>
      </c>
      <c r="O103" s="12">
        <v>1.29</v>
      </c>
      <c r="P103" s="12"/>
    </row>
    <row r="104" s="2" customFormat="1" customHeight="1" spans="1:16">
      <c r="A104" s="2" t="s">
        <v>231</v>
      </c>
      <c r="B104" s="2" t="s">
        <v>21</v>
      </c>
      <c r="C104" s="2" t="s">
        <v>234</v>
      </c>
      <c r="D104" s="2">
        <v>30</v>
      </c>
      <c r="E104" s="2" t="s">
        <v>23</v>
      </c>
      <c r="F104" s="2" t="s">
        <v>21</v>
      </c>
      <c r="G104" s="2">
        <v>68.93</v>
      </c>
      <c r="H104" s="2">
        <v>5.42</v>
      </c>
      <c r="I104" s="21" t="s">
        <v>237</v>
      </c>
      <c r="J104" s="12"/>
      <c r="K104" s="12"/>
      <c r="L104" s="12"/>
      <c r="M104" s="12"/>
      <c r="N104" s="12">
        <v>14.2</v>
      </c>
      <c r="O104" s="12">
        <v>2.4</v>
      </c>
      <c r="P104" s="12"/>
    </row>
    <row r="105" s="2" customFormat="1" customHeight="1" spans="1:16">
      <c r="A105" s="2" t="s">
        <v>238</v>
      </c>
      <c r="B105" s="2" t="s">
        <v>21</v>
      </c>
      <c r="D105" s="2">
        <v>266</v>
      </c>
      <c r="E105" s="2" t="s">
        <v>23</v>
      </c>
      <c r="F105" s="2" t="s">
        <v>21</v>
      </c>
      <c r="G105" s="2">
        <v>25.84</v>
      </c>
      <c r="H105" s="2">
        <v>2.99</v>
      </c>
      <c r="I105" s="21" t="s">
        <v>239</v>
      </c>
      <c r="J105" s="12">
        <v>266</v>
      </c>
      <c r="K105" s="12">
        <v>0</v>
      </c>
      <c r="L105" s="12">
        <v>266</v>
      </c>
      <c r="M105" s="12">
        <v>0</v>
      </c>
      <c r="N105" s="12"/>
      <c r="O105" s="12"/>
      <c r="P105" s="12"/>
    </row>
    <row r="106" s="2" customFormat="1" customHeight="1" spans="1:16">
      <c r="A106" s="2" t="s">
        <v>240</v>
      </c>
      <c r="B106" s="2" t="s">
        <v>21</v>
      </c>
      <c r="D106" s="2">
        <v>409</v>
      </c>
      <c r="E106" s="2" t="s">
        <v>23</v>
      </c>
      <c r="F106" s="2" t="s">
        <v>21</v>
      </c>
      <c r="G106" s="2">
        <v>29.26</v>
      </c>
      <c r="H106" s="2">
        <v>3.56</v>
      </c>
      <c r="I106" s="21" t="s">
        <v>241</v>
      </c>
      <c r="J106" s="12"/>
      <c r="K106" s="12"/>
      <c r="L106" s="12"/>
      <c r="M106" s="12"/>
      <c r="N106" s="12"/>
      <c r="O106" s="12"/>
      <c r="P106" s="12"/>
    </row>
    <row r="107" s="2" customFormat="1" customHeight="1" spans="1:16">
      <c r="A107" s="2" t="s">
        <v>242</v>
      </c>
      <c r="B107" s="2" t="s">
        <v>21</v>
      </c>
      <c r="D107" s="2">
        <v>560</v>
      </c>
      <c r="E107" s="2" t="s">
        <v>23</v>
      </c>
      <c r="F107" s="2" t="s">
        <v>21</v>
      </c>
      <c r="G107" s="8"/>
      <c r="H107" s="8"/>
      <c r="I107" s="21" t="s">
        <v>243</v>
      </c>
      <c r="J107" s="12">
        <v>532</v>
      </c>
      <c r="K107" s="12">
        <v>28</v>
      </c>
      <c r="L107" s="12"/>
      <c r="M107" s="12"/>
      <c r="N107" s="12"/>
      <c r="O107" s="12"/>
      <c r="P107" s="12"/>
    </row>
    <row r="108" s="2" customFormat="1" customHeight="1" spans="1:16">
      <c r="A108" s="2" t="s">
        <v>244</v>
      </c>
      <c r="B108" s="2" t="s">
        <v>21</v>
      </c>
      <c r="D108" s="2">
        <v>223</v>
      </c>
      <c r="E108" s="2" t="s">
        <v>23</v>
      </c>
      <c r="F108" s="2" t="s">
        <v>21</v>
      </c>
      <c r="G108" s="2">
        <v>26.71</v>
      </c>
      <c r="H108" s="2">
        <v>5.29</v>
      </c>
      <c r="I108" s="21" t="s">
        <v>245</v>
      </c>
      <c r="J108" s="12">
        <v>0.6884</v>
      </c>
      <c r="K108" s="12">
        <v>0.307</v>
      </c>
      <c r="L108" s="12">
        <v>0.9954</v>
      </c>
      <c r="M108" s="12">
        <f>1-L108</f>
        <v>0.00460000000000005</v>
      </c>
      <c r="N108" s="12"/>
      <c r="O108" s="12"/>
      <c r="P108" s="12"/>
    </row>
    <row r="109" s="2" customFormat="1" customHeight="1" spans="1:16">
      <c r="A109" s="2" t="s">
        <v>246</v>
      </c>
      <c r="B109" s="2" t="s">
        <v>21</v>
      </c>
      <c r="D109" s="2">
        <v>323</v>
      </c>
      <c r="E109" s="2" t="s">
        <v>23</v>
      </c>
      <c r="F109" s="2" t="s">
        <v>21</v>
      </c>
      <c r="G109" s="8"/>
      <c r="H109" s="8"/>
      <c r="I109" s="21" t="s">
        <v>247</v>
      </c>
      <c r="J109" s="12"/>
      <c r="K109" s="12"/>
      <c r="L109" s="12"/>
      <c r="M109" s="12"/>
      <c r="N109" s="12"/>
      <c r="O109" s="12"/>
      <c r="P109" s="12"/>
    </row>
    <row r="110" s="2" customFormat="1" customHeight="1" spans="1:16">
      <c r="A110" s="2" t="s">
        <v>248</v>
      </c>
      <c r="B110" s="2" t="s">
        <v>21</v>
      </c>
      <c r="C110" s="2" t="s">
        <v>249</v>
      </c>
      <c r="D110" s="2">
        <v>32</v>
      </c>
      <c r="E110" s="2" t="s">
        <v>37</v>
      </c>
      <c r="F110" s="2" t="s">
        <v>21</v>
      </c>
      <c r="G110" s="2">
        <v>45.41</v>
      </c>
      <c r="H110" s="2">
        <v>8.12</v>
      </c>
      <c r="I110" s="21" t="s">
        <v>250</v>
      </c>
      <c r="J110" s="12"/>
      <c r="K110" s="12"/>
      <c r="L110" s="12"/>
      <c r="M110" s="12"/>
      <c r="N110" s="12">
        <v>8.69</v>
      </c>
      <c r="O110" s="12">
        <v>3.01</v>
      </c>
      <c r="P110" s="12"/>
    </row>
    <row r="111" s="2" customFormat="1" customHeight="1" spans="1:16">
      <c r="A111" s="2" t="s">
        <v>248</v>
      </c>
      <c r="B111" s="2" t="s">
        <v>21</v>
      </c>
      <c r="C111" s="2" t="s">
        <v>251</v>
      </c>
      <c r="D111" s="2">
        <v>34</v>
      </c>
      <c r="E111" s="2" t="s">
        <v>37</v>
      </c>
      <c r="F111" s="2" t="s">
        <v>21</v>
      </c>
      <c r="G111" s="2">
        <v>46.38</v>
      </c>
      <c r="H111" s="2">
        <v>4.9</v>
      </c>
      <c r="I111" s="21" t="s">
        <v>252</v>
      </c>
      <c r="J111" s="12"/>
      <c r="K111" s="12"/>
      <c r="L111" s="12"/>
      <c r="M111" s="12"/>
      <c r="N111" s="12">
        <v>7.82</v>
      </c>
      <c r="O111" s="12">
        <v>1.98</v>
      </c>
      <c r="P111" s="12"/>
    </row>
    <row r="112" s="2" customFormat="1" customHeight="1" spans="1:16">
      <c r="A112" s="2" t="s">
        <v>253</v>
      </c>
      <c r="B112" s="2" t="s">
        <v>21</v>
      </c>
      <c r="C112" s="2" t="s">
        <v>254</v>
      </c>
      <c r="D112" s="2">
        <v>38</v>
      </c>
      <c r="E112" s="2" t="s">
        <v>37</v>
      </c>
      <c r="F112" s="2" t="s">
        <v>21</v>
      </c>
      <c r="G112" s="2">
        <v>32.9</v>
      </c>
      <c r="H112" s="2">
        <v>9.5</v>
      </c>
      <c r="I112" s="21" t="s">
        <v>255</v>
      </c>
      <c r="J112" s="12"/>
      <c r="K112" s="12"/>
      <c r="L112" s="12"/>
      <c r="M112" s="12"/>
      <c r="N112" s="12">
        <v>8.53</v>
      </c>
      <c r="O112" s="12">
        <v>1.92</v>
      </c>
      <c r="P112" s="12"/>
    </row>
    <row r="113" s="2" customFormat="1" customHeight="1" spans="1:16">
      <c r="A113" s="2" t="s">
        <v>253</v>
      </c>
      <c r="B113" s="2" t="s">
        <v>21</v>
      </c>
      <c r="C113" s="2" t="s">
        <v>89</v>
      </c>
      <c r="D113" s="2">
        <v>37</v>
      </c>
      <c r="E113" s="2" t="s">
        <v>37</v>
      </c>
      <c r="F113" s="2" t="s">
        <v>21</v>
      </c>
      <c r="G113" s="2">
        <v>31.86</v>
      </c>
      <c r="H113" s="2">
        <v>10.35</v>
      </c>
      <c r="I113" s="21" t="s">
        <v>256</v>
      </c>
      <c r="J113" s="12"/>
      <c r="K113" s="12"/>
      <c r="L113" s="12"/>
      <c r="M113" s="12"/>
      <c r="N113" s="12">
        <v>9.31</v>
      </c>
      <c r="O113" s="12">
        <v>1.66</v>
      </c>
      <c r="P113" s="12"/>
    </row>
    <row r="114" s="2" customFormat="1" customHeight="1" spans="1:16">
      <c r="A114" s="2" t="s">
        <v>253</v>
      </c>
      <c r="B114" s="2" t="s">
        <v>128</v>
      </c>
      <c r="C114" s="2" t="s">
        <v>254</v>
      </c>
      <c r="D114" s="2">
        <v>38</v>
      </c>
      <c r="E114" s="2" t="s">
        <v>37</v>
      </c>
      <c r="F114" s="2" t="s">
        <v>21</v>
      </c>
      <c r="G114" s="2">
        <v>31.43</v>
      </c>
      <c r="H114" s="2">
        <v>7.54</v>
      </c>
      <c r="I114" s="21" t="s">
        <v>257</v>
      </c>
      <c r="J114" s="12"/>
      <c r="K114" s="12"/>
      <c r="L114" s="12"/>
      <c r="M114" s="12"/>
      <c r="N114" s="12">
        <v>8.9</v>
      </c>
      <c r="O114" s="12">
        <v>1.47</v>
      </c>
      <c r="P114" s="12"/>
    </row>
    <row r="115" s="2" customFormat="1" customHeight="1" spans="1:16">
      <c r="A115" s="2" t="s">
        <v>253</v>
      </c>
      <c r="B115" s="2" t="s">
        <v>128</v>
      </c>
      <c r="C115" s="2" t="s">
        <v>89</v>
      </c>
      <c r="D115" s="2">
        <v>36</v>
      </c>
      <c r="E115" s="2" t="s">
        <v>37</v>
      </c>
      <c r="F115" s="2" t="s">
        <v>21</v>
      </c>
      <c r="G115" s="2">
        <v>33.13</v>
      </c>
      <c r="H115" s="2">
        <v>10.63</v>
      </c>
      <c r="I115" s="21" t="s">
        <v>256</v>
      </c>
      <c r="J115" s="12"/>
      <c r="K115" s="12"/>
      <c r="L115" s="12"/>
      <c r="M115" s="12"/>
      <c r="N115" s="12">
        <v>9.58</v>
      </c>
      <c r="O115" s="12">
        <v>2.14</v>
      </c>
      <c r="P115" s="12"/>
    </row>
    <row r="116" s="2" customFormat="1" customHeight="1" spans="1:20">
      <c r="A116" s="2" t="s">
        <v>258</v>
      </c>
      <c r="B116" s="2" t="s">
        <v>21</v>
      </c>
      <c r="D116" s="2">
        <v>4199</v>
      </c>
      <c r="E116" s="2" t="s">
        <v>23</v>
      </c>
      <c r="F116" s="2" t="s">
        <v>21</v>
      </c>
      <c r="G116" s="2">
        <v>30.24</v>
      </c>
      <c r="H116" s="2">
        <v>7.4</v>
      </c>
      <c r="I116" s="21" t="s">
        <v>259</v>
      </c>
      <c r="J116" s="12">
        <v>3412</v>
      </c>
      <c r="K116" s="12">
        <v>787</v>
      </c>
      <c r="L116" s="12">
        <v>4017</v>
      </c>
      <c r="M116" s="12">
        <v>182</v>
      </c>
      <c r="N116" s="12"/>
      <c r="O116" s="12"/>
      <c r="P116" s="12">
        <v>0</v>
      </c>
      <c r="Q116" s="2">
        <v>34</v>
      </c>
      <c r="R116" s="2">
        <v>148</v>
      </c>
      <c r="S116" s="2">
        <v>605</v>
      </c>
      <c r="T116" s="2">
        <v>3412</v>
      </c>
    </row>
    <row r="117" s="2" customFormat="1" customHeight="1" spans="1:16">
      <c r="A117" s="2" t="s">
        <v>260</v>
      </c>
      <c r="B117" s="2" t="s">
        <v>21</v>
      </c>
      <c r="C117" s="2" t="s">
        <v>25</v>
      </c>
      <c r="D117" s="2">
        <v>556</v>
      </c>
      <c r="E117" s="2" t="s">
        <v>23</v>
      </c>
      <c r="F117" s="2" t="s">
        <v>21</v>
      </c>
      <c r="G117" s="2">
        <v>45.55</v>
      </c>
      <c r="H117" s="2">
        <v>6.28</v>
      </c>
      <c r="I117" s="21" t="s">
        <v>261</v>
      </c>
      <c r="J117" s="12">
        <v>33</v>
      </c>
      <c r="K117" s="12">
        <v>523</v>
      </c>
      <c r="L117" s="12">
        <v>196</v>
      </c>
      <c r="M117" s="12">
        <v>360</v>
      </c>
      <c r="N117" s="12"/>
      <c r="O117" s="12"/>
      <c r="P117" s="12"/>
    </row>
    <row r="118" s="2" customFormat="1" customHeight="1" spans="1:16">
      <c r="A118" s="2" t="s">
        <v>260</v>
      </c>
      <c r="B118" s="2" t="s">
        <v>21</v>
      </c>
      <c r="C118" s="2" t="s">
        <v>22</v>
      </c>
      <c r="D118" s="2">
        <v>536</v>
      </c>
      <c r="E118" s="2" t="s">
        <v>23</v>
      </c>
      <c r="F118" s="2" t="s">
        <v>21</v>
      </c>
      <c r="G118" s="2">
        <v>43.87</v>
      </c>
      <c r="H118" s="2">
        <v>6.16</v>
      </c>
      <c r="I118" s="21" t="s">
        <v>262</v>
      </c>
      <c r="J118" s="12">
        <v>25</v>
      </c>
      <c r="K118" s="12">
        <v>511</v>
      </c>
      <c r="L118" s="12">
        <v>186</v>
      </c>
      <c r="M118" s="12">
        <v>350</v>
      </c>
      <c r="N118" s="12"/>
      <c r="O118" s="12"/>
      <c r="P118" s="12"/>
    </row>
    <row r="119" s="2" customFormat="1" customHeight="1" spans="1:16">
      <c r="A119" s="2" t="s">
        <v>263</v>
      </c>
      <c r="B119" s="2" t="s">
        <v>21</v>
      </c>
      <c r="D119" s="2">
        <v>189</v>
      </c>
      <c r="E119" s="2" t="s">
        <v>23</v>
      </c>
      <c r="F119" s="2" t="s">
        <v>21</v>
      </c>
      <c r="G119" s="8"/>
      <c r="H119" s="8"/>
      <c r="I119" s="21" t="s">
        <v>264</v>
      </c>
      <c r="J119" s="12">
        <v>189</v>
      </c>
      <c r="K119" s="12">
        <v>0</v>
      </c>
      <c r="L119" s="12">
        <v>189</v>
      </c>
      <c r="M119" s="12">
        <v>0</v>
      </c>
      <c r="N119" s="12"/>
      <c r="O119" s="12"/>
      <c r="P119" s="12"/>
    </row>
    <row r="120" s="2" customFormat="1" customHeight="1" spans="1:16">
      <c r="A120" s="2" t="s">
        <v>265</v>
      </c>
      <c r="B120" s="2" t="s">
        <v>21</v>
      </c>
      <c r="D120" s="2">
        <v>1066</v>
      </c>
      <c r="E120" s="2" t="s">
        <v>23</v>
      </c>
      <c r="F120" s="2" t="s">
        <v>21</v>
      </c>
      <c r="G120" s="8"/>
      <c r="H120" s="8"/>
      <c r="I120" s="21" t="s">
        <v>266</v>
      </c>
      <c r="J120" s="12">
        <v>0.693</v>
      </c>
      <c r="K120" s="12">
        <v>0.307</v>
      </c>
      <c r="L120" s="12"/>
      <c r="M120" s="12"/>
      <c r="N120" s="12"/>
      <c r="O120" s="12"/>
      <c r="P120" s="12"/>
    </row>
    <row r="121" s="2" customFormat="1" customHeight="1" spans="1:16">
      <c r="A121" s="2" t="s">
        <v>267</v>
      </c>
      <c r="B121" s="2" t="s">
        <v>128</v>
      </c>
      <c r="D121" s="2">
        <v>154</v>
      </c>
      <c r="E121" s="2" t="s">
        <v>37</v>
      </c>
      <c r="F121" s="2" t="s">
        <v>21</v>
      </c>
      <c r="G121" s="8"/>
      <c r="H121" s="8"/>
      <c r="I121" s="21" t="s">
        <v>268</v>
      </c>
      <c r="J121" s="12">
        <v>154</v>
      </c>
      <c r="K121" s="12">
        <v>0</v>
      </c>
      <c r="L121" s="12">
        <v>154</v>
      </c>
      <c r="M121" s="12">
        <v>0</v>
      </c>
      <c r="N121" s="12"/>
      <c r="O121" s="12"/>
      <c r="P121" s="12"/>
    </row>
    <row r="122" s="2" customFormat="1" customHeight="1" spans="1:16">
      <c r="A122" s="2" t="s">
        <v>267</v>
      </c>
      <c r="B122" s="2" t="s">
        <v>63</v>
      </c>
      <c r="D122" s="15">
        <v>50</v>
      </c>
      <c r="E122" s="2" t="s">
        <v>23</v>
      </c>
      <c r="F122" s="2" t="s">
        <v>21</v>
      </c>
      <c r="G122" s="8"/>
      <c r="H122" s="8"/>
      <c r="I122" s="21" t="s">
        <v>269</v>
      </c>
      <c r="J122" s="12">
        <v>30</v>
      </c>
      <c r="K122" s="12">
        <v>0</v>
      </c>
      <c r="L122" s="12">
        <v>30</v>
      </c>
      <c r="M122" s="12">
        <v>0</v>
      </c>
      <c r="N122" s="12"/>
      <c r="O122" s="12"/>
      <c r="P122" s="12"/>
    </row>
    <row r="123" s="2" customFormat="1" customHeight="1" spans="1:16">
      <c r="A123" s="2" t="s">
        <v>270</v>
      </c>
      <c r="B123" s="2" t="s">
        <v>21</v>
      </c>
      <c r="C123" s="2" t="s">
        <v>271</v>
      </c>
      <c r="D123" s="2">
        <v>12</v>
      </c>
      <c r="E123" s="2" t="s">
        <v>23</v>
      </c>
      <c r="F123" s="2" t="s">
        <v>21</v>
      </c>
      <c r="G123" s="2">
        <v>24.42</v>
      </c>
      <c r="H123" s="8"/>
      <c r="I123" s="21" t="s">
        <v>272</v>
      </c>
      <c r="J123" s="12"/>
      <c r="K123" s="12"/>
      <c r="L123" s="12"/>
      <c r="M123" s="12"/>
      <c r="N123" s="12">
        <v>14.7</v>
      </c>
      <c r="O123" s="12"/>
      <c r="P123" s="12"/>
    </row>
    <row r="124" s="2" customFormat="1" customHeight="1" spans="1:16">
      <c r="A124" s="2" t="s">
        <v>270</v>
      </c>
      <c r="B124" s="2" t="s">
        <v>21</v>
      </c>
      <c r="C124" s="2" t="s">
        <v>273</v>
      </c>
      <c r="D124" s="2">
        <v>12</v>
      </c>
      <c r="E124" s="2" t="s">
        <v>23</v>
      </c>
      <c r="F124" s="2" t="s">
        <v>21</v>
      </c>
      <c r="G124" s="2">
        <v>25.25</v>
      </c>
      <c r="H124" s="8"/>
      <c r="I124" s="21" t="s">
        <v>274</v>
      </c>
      <c r="J124" s="12"/>
      <c r="K124" s="12"/>
      <c r="L124" s="12"/>
      <c r="M124" s="12"/>
      <c r="N124" s="12">
        <v>14.9</v>
      </c>
      <c r="O124" s="12"/>
      <c r="P124" s="12"/>
    </row>
    <row r="125" s="2" customFormat="1" customHeight="1" spans="1:16">
      <c r="A125" s="2" t="s">
        <v>275</v>
      </c>
      <c r="B125" s="2" t="s">
        <v>21</v>
      </c>
      <c r="D125" s="2">
        <v>116</v>
      </c>
      <c r="E125" s="2" t="s">
        <v>23</v>
      </c>
      <c r="F125" s="2" t="s">
        <v>21</v>
      </c>
      <c r="G125" s="2">
        <v>32</v>
      </c>
      <c r="H125" s="2">
        <v>2.7</v>
      </c>
      <c r="I125" s="21" t="s">
        <v>276</v>
      </c>
      <c r="J125" s="12">
        <v>116</v>
      </c>
      <c r="K125" s="12">
        <v>0</v>
      </c>
      <c r="L125" s="12">
        <v>116</v>
      </c>
      <c r="M125" s="12">
        <v>0</v>
      </c>
      <c r="N125" s="12"/>
      <c r="O125" s="12"/>
      <c r="P125" s="12"/>
    </row>
    <row r="126" s="2" customFormat="1" customHeight="1" spans="1:16">
      <c r="A126" s="2" t="s">
        <v>275</v>
      </c>
      <c r="B126" s="2" t="s">
        <v>128</v>
      </c>
      <c r="D126" s="2">
        <v>266</v>
      </c>
      <c r="E126" s="2" t="s">
        <v>23</v>
      </c>
      <c r="F126" s="2" t="s">
        <v>21</v>
      </c>
      <c r="G126" s="2">
        <v>29</v>
      </c>
      <c r="H126" s="2">
        <v>2.29999999999999</v>
      </c>
      <c r="I126" s="21" t="s">
        <v>277</v>
      </c>
      <c r="J126" s="12">
        <v>266</v>
      </c>
      <c r="K126" s="12">
        <v>0</v>
      </c>
      <c r="L126" s="12">
        <v>266</v>
      </c>
      <c r="M126" s="12">
        <v>0</v>
      </c>
      <c r="N126" s="12"/>
      <c r="O126" s="12"/>
      <c r="P126" s="12"/>
    </row>
    <row r="127" s="2" customFormat="1" customHeight="1" spans="1:16">
      <c r="A127" s="2" t="s">
        <v>278</v>
      </c>
      <c r="B127" s="2" t="s">
        <v>21</v>
      </c>
      <c r="D127" s="2">
        <v>23</v>
      </c>
      <c r="E127" s="2" t="s">
        <v>23</v>
      </c>
      <c r="F127" s="2" t="s">
        <v>21</v>
      </c>
      <c r="G127" s="2">
        <v>27.78</v>
      </c>
      <c r="H127" s="2">
        <v>3.9</v>
      </c>
      <c r="I127" s="21" t="s">
        <v>279</v>
      </c>
      <c r="J127" s="12"/>
      <c r="K127" s="12"/>
      <c r="L127" s="12">
        <v>8</v>
      </c>
      <c r="M127" s="12">
        <v>15</v>
      </c>
      <c r="N127" s="12"/>
      <c r="O127" s="12"/>
      <c r="P127" s="12"/>
    </row>
    <row r="128" s="2" customFormat="1" customHeight="1" spans="1:16">
      <c r="A128" s="2" t="s">
        <v>280</v>
      </c>
      <c r="B128" s="2" t="s">
        <v>21</v>
      </c>
      <c r="D128" s="2">
        <v>201</v>
      </c>
      <c r="E128" s="2" t="s">
        <v>23</v>
      </c>
      <c r="F128" s="2" t="s">
        <v>21</v>
      </c>
      <c r="G128" s="2">
        <v>25.86</v>
      </c>
      <c r="H128" s="2">
        <v>5.63</v>
      </c>
      <c r="I128" s="21" t="s">
        <v>281</v>
      </c>
      <c r="J128" s="12"/>
      <c r="K128" s="12"/>
      <c r="L128" s="12"/>
      <c r="M128" s="12"/>
      <c r="N128" s="12">
        <v>15.73</v>
      </c>
      <c r="O128" s="12">
        <v>2.51</v>
      </c>
      <c r="P128" s="12"/>
    </row>
    <row r="129" s="2" customFormat="1" customHeight="1" spans="1:16">
      <c r="A129" s="2" t="s">
        <v>282</v>
      </c>
      <c r="B129" s="2" t="s">
        <v>21</v>
      </c>
      <c r="D129" s="2">
        <v>249</v>
      </c>
      <c r="E129" s="2" t="s">
        <v>23</v>
      </c>
      <c r="F129" s="2" t="s">
        <v>21</v>
      </c>
      <c r="G129" s="2">
        <v>32.2</v>
      </c>
      <c r="H129" s="2">
        <v>7.09</v>
      </c>
      <c r="I129" s="21" t="s">
        <v>283</v>
      </c>
      <c r="J129" s="12">
        <v>0.957</v>
      </c>
      <c r="K129" s="12">
        <v>0.02</v>
      </c>
      <c r="L129" s="12"/>
      <c r="M129" s="12"/>
      <c r="N129" s="12"/>
      <c r="O129" s="12"/>
      <c r="P129" s="12"/>
    </row>
    <row r="130" s="2" customFormat="1" customHeight="1" spans="1:16">
      <c r="A130" s="2" t="s">
        <v>284</v>
      </c>
      <c r="B130" s="2" t="s">
        <v>21</v>
      </c>
      <c r="D130" s="2">
        <v>676</v>
      </c>
      <c r="E130" s="2" t="s">
        <v>23</v>
      </c>
      <c r="F130" s="2" t="s">
        <v>21</v>
      </c>
      <c r="G130" s="2">
        <v>30.66</v>
      </c>
      <c r="H130" s="2">
        <v>6.88</v>
      </c>
      <c r="I130" s="21" t="s">
        <v>285</v>
      </c>
      <c r="J130" s="12"/>
      <c r="K130" s="12"/>
      <c r="L130" s="12"/>
      <c r="M130" s="12"/>
      <c r="N130" s="12"/>
      <c r="O130" s="12"/>
      <c r="P130" s="12"/>
    </row>
    <row r="131" s="2" customFormat="1" customHeight="1" spans="1:16">
      <c r="A131" s="2" t="s">
        <v>286</v>
      </c>
      <c r="B131" s="2" t="s">
        <v>21</v>
      </c>
      <c r="D131" s="2">
        <v>299</v>
      </c>
      <c r="E131" s="2" t="s">
        <v>23</v>
      </c>
      <c r="F131" s="2" t="s">
        <v>21</v>
      </c>
      <c r="G131" s="2">
        <v>28.01</v>
      </c>
      <c r="H131" s="2">
        <v>5.96</v>
      </c>
      <c r="I131" s="21" t="s">
        <v>287</v>
      </c>
      <c r="J131" s="12">
        <v>278</v>
      </c>
      <c r="K131" s="12">
        <v>21</v>
      </c>
      <c r="L131" s="12"/>
      <c r="M131" s="12"/>
      <c r="N131" s="12"/>
      <c r="O131" s="12"/>
      <c r="P131" s="12"/>
    </row>
    <row r="132" s="2" customFormat="1" customHeight="1" spans="1:16">
      <c r="A132" s="2" t="s">
        <v>288</v>
      </c>
      <c r="B132" s="2" t="s">
        <v>21</v>
      </c>
      <c r="D132" s="2">
        <v>350</v>
      </c>
      <c r="E132" s="2" t="s">
        <v>23</v>
      </c>
      <c r="F132" s="2" t="s">
        <v>21</v>
      </c>
      <c r="G132" s="8"/>
      <c r="H132" s="8"/>
      <c r="I132" s="21" t="s">
        <v>289</v>
      </c>
      <c r="J132" s="12"/>
      <c r="K132" s="12"/>
      <c r="L132" s="12"/>
      <c r="M132" s="12"/>
      <c r="N132" s="12"/>
      <c r="O132" s="12"/>
      <c r="P132" s="12"/>
    </row>
    <row r="133" s="2" customFormat="1" customHeight="1" spans="1:19">
      <c r="A133" s="2" t="s">
        <v>290</v>
      </c>
      <c r="B133" s="2" t="s">
        <v>21</v>
      </c>
      <c r="C133" s="2" t="s">
        <v>291</v>
      </c>
      <c r="D133" s="2">
        <v>25</v>
      </c>
      <c r="E133" s="2" t="s">
        <v>23</v>
      </c>
      <c r="F133" s="2" t="s">
        <v>21</v>
      </c>
      <c r="G133" s="8"/>
      <c r="H133" s="8"/>
      <c r="I133" s="21" t="s">
        <v>292</v>
      </c>
      <c r="J133" s="12"/>
      <c r="K133" s="12"/>
      <c r="L133" s="12">
        <v>2</v>
      </c>
      <c r="M133" s="12">
        <v>23</v>
      </c>
      <c r="N133" s="12"/>
      <c r="O133" s="12"/>
      <c r="P133" s="12">
        <v>1</v>
      </c>
      <c r="Q133" s="2">
        <v>8</v>
      </c>
      <c r="R133" s="2">
        <v>14</v>
      </c>
      <c r="S133" s="2" t="s">
        <v>293</v>
      </c>
    </row>
    <row r="134" s="2" customFormat="1" customHeight="1" spans="1:19">
      <c r="A134" s="2" t="s">
        <v>290</v>
      </c>
      <c r="B134" s="2" t="s">
        <v>21</v>
      </c>
      <c r="C134" s="2" t="s">
        <v>294</v>
      </c>
      <c r="D134" s="2">
        <v>25</v>
      </c>
      <c r="E134" s="2" t="s">
        <v>23</v>
      </c>
      <c r="F134" s="2" t="s">
        <v>21</v>
      </c>
      <c r="G134" s="8"/>
      <c r="H134" s="8"/>
      <c r="I134" s="21" t="s">
        <v>295</v>
      </c>
      <c r="J134" s="12"/>
      <c r="K134" s="12"/>
      <c r="L134" s="12">
        <v>2</v>
      </c>
      <c r="M134" s="12">
        <v>23</v>
      </c>
      <c r="N134" s="12"/>
      <c r="O134" s="12"/>
      <c r="P134" s="12">
        <v>1</v>
      </c>
      <c r="Q134" s="2">
        <v>12</v>
      </c>
      <c r="R134" s="2">
        <v>10</v>
      </c>
      <c r="S134" s="2" t="s">
        <v>293</v>
      </c>
    </row>
    <row r="135" s="2" customFormat="1" customHeight="1" spans="1:16">
      <c r="A135" s="2" t="s">
        <v>296</v>
      </c>
      <c r="B135" s="2" t="s">
        <v>21</v>
      </c>
      <c r="C135" s="2" t="s">
        <v>297</v>
      </c>
      <c r="D135" s="2">
        <v>45</v>
      </c>
      <c r="E135" s="2" t="s">
        <v>23</v>
      </c>
      <c r="F135" s="2" t="s">
        <v>21</v>
      </c>
      <c r="G135" s="2">
        <v>34.6</v>
      </c>
      <c r="H135" s="2">
        <v>6.07</v>
      </c>
      <c r="I135" s="21" t="s">
        <v>298</v>
      </c>
      <c r="J135" s="12"/>
      <c r="K135" s="12"/>
      <c r="L135" s="12"/>
      <c r="M135" s="12"/>
      <c r="N135" s="12">
        <v>9.73</v>
      </c>
      <c r="O135" s="12">
        <v>2.27</v>
      </c>
      <c r="P135" s="12"/>
    </row>
    <row r="136" s="2" customFormat="1" customHeight="1" spans="1:16">
      <c r="A136" s="2" t="s">
        <v>296</v>
      </c>
      <c r="B136" s="2" t="s">
        <v>21</v>
      </c>
      <c r="C136" s="2" t="s">
        <v>299</v>
      </c>
      <c r="D136" s="2">
        <v>41</v>
      </c>
      <c r="E136" s="2" t="s">
        <v>23</v>
      </c>
      <c r="F136" s="2" t="s">
        <v>21</v>
      </c>
      <c r="G136" s="2">
        <v>31.66</v>
      </c>
      <c r="H136" s="2">
        <v>5.65</v>
      </c>
      <c r="I136" s="21" t="s">
        <v>300</v>
      </c>
      <c r="J136" s="12"/>
      <c r="K136" s="12"/>
      <c r="L136" s="12"/>
      <c r="M136" s="12"/>
      <c r="N136" s="12">
        <v>10.05</v>
      </c>
      <c r="O136" s="12">
        <v>2.73</v>
      </c>
      <c r="P136" s="12"/>
    </row>
    <row r="137" s="2" customFormat="1" customHeight="1" spans="1:16">
      <c r="A137" s="2" t="s">
        <v>296</v>
      </c>
      <c r="B137" s="2" t="s">
        <v>21</v>
      </c>
      <c r="C137" s="2" t="s">
        <v>301</v>
      </c>
      <c r="D137" s="2">
        <v>33</v>
      </c>
      <c r="E137" s="2" t="s">
        <v>23</v>
      </c>
      <c r="F137" s="2" t="s">
        <v>21</v>
      </c>
      <c r="G137" s="2">
        <v>35.06</v>
      </c>
      <c r="H137" s="2">
        <v>12.07</v>
      </c>
      <c r="I137" s="21" t="s">
        <v>302</v>
      </c>
      <c r="J137" s="12"/>
      <c r="K137" s="12"/>
      <c r="L137" s="12"/>
      <c r="M137" s="12"/>
      <c r="N137" s="12">
        <v>9.7</v>
      </c>
      <c r="O137" s="12">
        <v>2.14</v>
      </c>
      <c r="P137" s="12"/>
    </row>
    <row r="138" s="2" customFormat="1" customHeight="1" spans="1:16">
      <c r="A138" s="2" t="s">
        <v>303</v>
      </c>
      <c r="B138" s="2" t="s">
        <v>21</v>
      </c>
      <c r="D138" s="2">
        <v>120</v>
      </c>
      <c r="E138" s="2" t="s">
        <v>23</v>
      </c>
      <c r="F138" s="2" t="s">
        <v>21</v>
      </c>
      <c r="G138" s="2">
        <v>28.34</v>
      </c>
      <c r="H138" s="2">
        <v>3.19</v>
      </c>
      <c r="I138" s="21" t="s">
        <v>304</v>
      </c>
      <c r="J138" s="12">
        <v>120</v>
      </c>
      <c r="K138" s="12">
        <v>0</v>
      </c>
      <c r="L138" s="12">
        <v>120</v>
      </c>
      <c r="M138" s="12">
        <v>0</v>
      </c>
      <c r="N138" s="12"/>
      <c r="O138" s="12"/>
      <c r="P138" s="12"/>
    </row>
    <row r="139" s="2" customFormat="1" customHeight="1" spans="1:16">
      <c r="A139" s="2" t="s">
        <v>305</v>
      </c>
      <c r="B139" s="2" t="s">
        <v>21</v>
      </c>
      <c r="D139" s="2">
        <v>141</v>
      </c>
      <c r="E139" s="2" t="s">
        <v>23</v>
      </c>
      <c r="F139" s="2" t="s">
        <v>21</v>
      </c>
      <c r="G139" s="2">
        <v>53.3</v>
      </c>
      <c r="H139" s="2">
        <v>12</v>
      </c>
      <c r="I139" s="21" t="s">
        <v>306</v>
      </c>
      <c r="J139" s="12">
        <v>28</v>
      </c>
      <c r="K139" s="12">
        <v>113</v>
      </c>
      <c r="L139" s="12">
        <v>82</v>
      </c>
      <c r="M139" s="12">
        <v>59</v>
      </c>
      <c r="N139" s="12"/>
      <c r="O139" s="12"/>
      <c r="P139" s="12"/>
    </row>
    <row r="140" s="2" customFormat="1" customHeight="1" spans="1:20">
      <c r="A140" s="2" t="s">
        <v>307</v>
      </c>
      <c r="B140" s="2" t="s">
        <v>21</v>
      </c>
      <c r="D140" s="2">
        <v>135</v>
      </c>
      <c r="E140" s="2" t="s">
        <v>23</v>
      </c>
      <c r="F140" s="2" t="s">
        <v>21</v>
      </c>
      <c r="G140" s="2">
        <v>46.61</v>
      </c>
      <c r="H140" s="2">
        <v>12.74</v>
      </c>
      <c r="I140" s="21" t="s">
        <v>308</v>
      </c>
      <c r="J140" s="12">
        <v>56</v>
      </c>
      <c r="K140" s="12">
        <v>79</v>
      </c>
      <c r="L140" s="12">
        <v>88</v>
      </c>
      <c r="M140" s="12">
        <v>47</v>
      </c>
      <c r="N140" s="12"/>
      <c r="O140" s="12"/>
      <c r="P140" s="12" t="s">
        <v>309</v>
      </c>
      <c r="R140" s="2">
        <v>22</v>
      </c>
      <c r="S140" s="2">
        <v>32</v>
      </c>
      <c r="T140" s="2">
        <v>56</v>
      </c>
    </row>
    <row r="141" s="2" customFormat="1" customHeight="1" spans="1:16">
      <c r="A141" s="2" t="s">
        <v>310</v>
      </c>
      <c r="B141" s="2" t="s">
        <v>21</v>
      </c>
      <c r="D141" s="2">
        <v>430</v>
      </c>
      <c r="E141" s="2" t="s">
        <v>23</v>
      </c>
      <c r="F141" s="2" t="s">
        <v>21</v>
      </c>
      <c r="G141" s="2">
        <v>31</v>
      </c>
      <c r="H141" s="8"/>
      <c r="I141" s="21" t="s">
        <v>311</v>
      </c>
      <c r="J141" s="12"/>
      <c r="K141" s="12"/>
      <c r="L141" s="12"/>
      <c r="M141" s="12"/>
      <c r="N141" s="12"/>
      <c r="O141" s="12"/>
      <c r="P141" s="12"/>
    </row>
    <row r="142" s="2" customFormat="1" customHeight="1" spans="1:16">
      <c r="A142" s="2" t="s">
        <v>312</v>
      </c>
      <c r="B142" s="2" t="s">
        <v>21</v>
      </c>
      <c r="D142" s="2">
        <v>190</v>
      </c>
      <c r="E142" s="2" t="s">
        <v>37</v>
      </c>
      <c r="F142" s="2" t="s">
        <v>21</v>
      </c>
      <c r="G142" s="2">
        <v>28.67</v>
      </c>
      <c r="H142" s="2">
        <v>6.18</v>
      </c>
      <c r="I142" s="21" t="s">
        <v>313</v>
      </c>
      <c r="J142" s="12">
        <v>190</v>
      </c>
      <c r="K142" s="12">
        <v>0</v>
      </c>
      <c r="L142" s="12">
        <v>190</v>
      </c>
      <c r="M142" s="12">
        <v>0</v>
      </c>
      <c r="N142" s="12"/>
      <c r="O142" s="12"/>
      <c r="P142" s="12"/>
    </row>
    <row r="143" s="2" customFormat="1" customHeight="1" spans="1:16">
      <c r="A143" s="2" t="s">
        <v>314</v>
      </c>
      <c r="B143" s="2" t="s">
        <v>21</v>
      </c>
      <c r="D143" s="2">
        <v>62</v>
      </c>
      <c r="E143" s="2" t="s">
        <v>37</v>
      </c>
      <c r="F143" s="2" t="s">
        <v>21</v>
      </c>
      <c r="G143" s="8"/>
      <c r="H143" s="8"/>
      <c r="I143" s="21" t="s">
        <v>315</v>
      </c>
      <c r="J143" s="12">
        <v>19</v>
      </c>
      <c r="K143" s="12">
        <v>43</v>
      </c>
      <c r="L143" s="12">
        <v>36</v>
      </c>
      <c r="M143" s="12">
        <v>26</v>
      </c>
      <c r="N143" s="12"/>
      <c r="O143" s="12"/>
      <c r="P143" s="12"/>
    </row>
    <row r="144" s="2" customFormat="1" customHeight="1" spans="1:16">
      <c r="A144" s="2" t="s">
        <v>316</v>
      </c>
      <c r="B144" s="2" t="s">
        <v>21</v>
      </c>
      <c r="D144" s="2">
        <v>219</v>
      </c>
      <c r="E144" s="2" t="s">
        <v>23</v>
      </c>
      <c r="F144" s="2" t="s">
        <v>21</v>
      </c>
      <c r="G144" s="2">
        <v>29.06</v>
      </c>
      <c r="H144" s="8"/>
      <c r="I144" s="21" t="s">
        <v>317</v>
      </c>
      <c r="J144" s="12">
        <v>0.8493</v>
      </c>
      <c r="K144" s="12">
        <v>0.1187</v>
      </c>
      <c r="L144" s="12"/>
      <c r="M144" s="12"/>
      <c r="N144" s="12"/>
      <c r="O144" s="12"/>
      <c r="P144" s="12"/>
    </row>
    <row r="145" s="2" customFormat="1" customHeight="1" spans="1:16">
      <c r="A145" s="2" t="s">
        <v>318</v>
      </c>
      <c r="B145" s="2" t="s">
        <v>21</v>
      </c>
      <c r="C145" s="2" t="s">
        <v>319</v>
      </c>
      <c r="D145" s="2">
        <v>24</v>
      </c>
      <c r="E145" s="2" t="s">
        <v>23</v>
      </c>
      <c r="F145" s="2" t="s">
        <v>21</v>
      </c>
      <c r="G145" s="2">
        <v>31.46</v>
      </c>
      <c r="H145" s="2">
        <v>13.47</v>
      </c>
      <c r="I145" s="21" t="s">
        <v>320</v>
      </c>
      <c r="J145" s="12"/>
      <c r="K145" s="12"/>
      <c r="L145" s="12"/>
      <c r="M145" s="12"/>
      <c r="N145" s="12">
        <v>12.96</v>
      </c>
      <c r="O145" s="12">
        <v>2.84</v>
      </c>
      <c r="P145" s="12"/>
    </row>
    <row r="146" s="2" customFormat="1" customHeight="1" spans="1:16">
      <c r="A146" s="2" t="s">
        <v>318</v>
      </c>
      <c r="B146" s="2" t="s">
        <v>21</v>
      </c>
      <c r="C146" s="2" t="s">
        <v>321</v>
      </c>
      <c r="D146" s="2">
        <v>24</v>
      </c>
      <c r="E146" s="2" t="s">
        <v>23</v>
      </c>
      <c r="F146" s="2" t="s">
        <v>21</v>
      </c>
      <c r="G146" s="2">
        <v>31.88</v>
      </c>
      <c r="H146" s="2">
        <v>11.96</v>
      </c>
      <c r="I146" s="21" t="s">
        <v>322</v>
      </c>
      <c r="J146" s="12"/>
      <c r="K146" s="12"/>
      <c r="L146" s="12"/>
      <c r="M146" s="12"/>
      <c r="N146" s="12">
        <v>12.71</v>
      </c>
      <c r="O146" s="12">
        <v>2.54</v>
      </c>
      <c r="P146" s="12"/>
    </row>
    <row r="147" s="2" customFormat="1" customHeight="1" spans="1:16">
      <c r="A147" s="2" t="s">
        <v>323</v>
      </c>
      <c r="B147" s="2" t="s">
        <v>21</v>
      </c>
      <c r="C147" s="2" t="s">
        <v>324</v>
      </c>
      <c r="D147" s="2">
        <v>28</v>
      </c>
      <c r="E147" s="2" t="s">
        <v>23</v>
      </c>
      <c r="F147" s="2" t="s">
        <v>21</v>
      </c>
      <c r="G147" s="2">
        <v>23.18</v>
      </c>
      <c r="H147" s="2">
        <v>2.07</v>
      </c>
      <c r="I147" s="21" t="s">
        <v>325</v>
      </c>
      <c r="J147" s="12">
        <v>2</v>
      </c>
      <c r="K147" s="12">
        <v>26</v>
      </c>
      <c r="L147" s="12">
        <v>15</v>
      </c>
      <c r="M147" s="12">
        <v>13</v>
      </c>
      <c r="N147" s="12"/>
      <c r="O147" s="12"/>
      <c r="P147" s="12"/>
    </row>
    <row r="148" s="2" customFormat="1" customHeight="1" spans="1:16">
      <c r="A148" s="2" t="s">
        <v>323</v>
      </c>
      <c r="B148" s="2" t="s">
        <v>21</v>
      </c>
      <c r="C148" s="2" t="s">
        <v>89</v>
      </c>
      <c r="D148" s="2">
        <v>33</v>
      </c>
      <c r="E148" s="2" t="s">
        <v>23</v>
      </c>
      <c r="F148" s="2" t="s">
        <v>21</v>
      </c>
      <c r="G148" s="2">
        <v>23.44</v>
      </c>
      <c r="H148" s="2">
        <v>2.1</v>
      </c>
      <c r="I148" s="21" t="s">
        <v>326</v>
      </c>
      <c r="J148" s="12">
        <v>2</v>
      </c>
      <c r="K148" s="12">
        <v>31</v>
      </c>
      <c r="L148" s="12">
        <v>15</v>
      </c>
      <c r="M148" s="12">
        <v>18</v>
      </c>
      <c r="N148" s="12"/>
      <c r="O148" s="12"/>
      <c r="P148" s="12"/>
    </row>
    <row r="149" s="2" customFormat="1" customHeight="1" spans="1:16">
      <c r="A149" s="2" t="s">
        <v>327</v>
      </c>
      <c r="B149" s="2" t="s">
        <v>21</v>
      </c>
      <c r="D149" s="2">
        <v>76</v>
      </c>
      <c r="E149" s="2" t="s">
        <v>37</v>
      </c>
      <c r="F149" s="2" t="s">
        <v>21</v>
      </c>
      <c r="G149" s="8"/>
      <c r="H149" s="8"/>
      <c r="I149" s="21" t="s">
        <v>328</v>
      </c>
      <c r="J149" s="12">
        <v>3</v>
      </c>
      <c r="K149" s="12">
        <v>73</v>
      </c>
      <c r="L149" s="12">
        <v>61</v>
      </c>
      <c r="M149" s="12">
        <v>15</v>
      </c>
      <c r="N149" s="12"/>
      <c r="O149" s="12"/>
      <c r="P149" s="12"/>
    </row>
    <row r="150" s="2" customFormat="1" customHeight="1" spans="1:16">
      <c r="A150" s="2" t="s">
        <v>329</v>
      </c>
      <c r="B150" s="2" t="s">
        <v>21</v>
      </c>
      <c r="C150" s="2" t="s">
        <v>330</v>
      </c>
      <c r="D150" s="2">
        <v>46</v>
      </c>
      <c r="E150" s="2" t="s">
        <v>37</v>
      </c>
      <c r="F150" s="2" t="s">
        <v>21</v>
      </c>
      <c r="G150" s="2">
        <v>30.44</v>
      </c>
      <c r="H150" s="2">
        <v>3.75</v>
      </c>
      <c r="I150" s="21" t="s">
        <v>331</v>
      </c>
      <c r="J150" s="12">
        <v>0.5</v>
      </c>
      <c r="K150" s="12">
        <v>0.5</v>
      </c>
      <c r="L150" s="12">
        <v>0.826</v>
      </c>
      <c r="M150" s="12">
        <f t="shared" ref="M150:M151" si="0">1-L150</f>
        <v>0.174</v>
      </c>
      <c r="N150" s="12"/>
      <c r="O150" s="12"/>
      <c r="P150" s="12"/>
    </row>
    <row r="151" s="2" customFormat="1" customHeight="1" spans="1:16">
      <c r="A151" s="2" t="s">
        <v>329</v>
      </c>
      <c r="B151" s="2" t="s">
        <v>21</v>
      </c>
      <c r="C151" s="2" t="s">
        <v>332</v>
      </c>
      <c r="D151" s="2">
        <v>76</v>
      </c>
      <c r="E151" s="2" t="s">
        <v>37</v>
      </c>
      <c r="F151" s="2" t="s">
        <v>21</v>
      </c>
      <c r="G151" s="2">
        <v>38.24</v>
      </c>
      <c r="H151" s="2">
        <v>1.12</v>
      </c>
      <c r="I151" s="21" t="s">
        <v>331</v>
      </c>
      <c r="J151" s="12">
        <v>0.934</v>
      </c>
      <c r="K151" s="12">
        <f>1-J151</f>
        <v>0.0659999999999999</v>
      </c>
      <c r="L151" s="12">
        <v>0.9868</v>
      </c>
      <c r="M151" s="12">
        <f t="shared" si="0"/>
        <v>0.0132</v>
      </c>
      <c r="N151" s="12"/>
      <c r="O151" s="12"/>
      <c r="P151" s="12"/>
    </row>
    <row r="152" s="2" customFormat="1" customHeight="1" spans="1:16">
      <c r="A152" s="2" t="s">
        <v>333</v>
      </c>
      <c r="B152" s="2" t="s">
        <v>21</v>
      </c>
      <c r="D152" s="2">
        <v>352</v>
      </c>
      <c r="E152" s="2" t="s">
        <v>23</v>
      </c>
      <c r="F152" s="2" t="s">
        <v>21</v>
      </c>
      <c r="G152" s="2">
        <v>66.88</v>
      </c>
      <c r="H152" s="2">
        <v>4.95</v>
      </c>
      <c r="I152" s="21" t="s">
        <v>334</v>
      </c>
      <c r="J152" s="12">
        <v>133</v>
      </c>
      <c r="K152" s="12">
        <v>219</v>
      </c>
      <c r="L152" s="12">
        <v>220</v>
      </c>
      <c r="M152" s="12">
        <v>123</v>
      </c>
      <c r="N152" s="12"/>
      <c r="O152" s="12"/>
      <c r="P152" s="12"/>
    </row>
    <row r="153" s="2" customFormat="1" customHeight="1" spans="1:16">
      <c r="A153" s="2" t="s">
        <v>335</v>
      </c>
      <c r="B153" s="2" t="s">
        <v>21</v>
      </c>
      <c r="C153" s="2" t="s">
        <v>336</v>
      </c>
      <c r="D153" s="2">
        <v>195</v>
      </c>
      <c r="E153" s="2" t="s">
        <v>23</v>
      </c>
      <c r="F153" s="2" t="s">
        <v>21</v>
      </c>
      <c r="G153" s="2">
        <v>36.14</v>
      </c>
      <c r="H153" s="2">
        <v>6.62</v>
      </c>
      <c r="I153" s="21" t="s">
        <v>337</v>
      </c>
      <c r="J153" s="12"/>
      <c r="K153" s="12"/>
      <c r="L153" s="12"/>
      <c r="M153" s="12"/>
      <c r="N153" s="12"/>
      <c r="O153" s="12"/>
      <c r="P153" s="12"/>
    </row>
    <row r="154" s="2" customFormat="1" customHeight="1" spans="1:16">
      <c r="A154" s="2" t="s">
        <v>335</v>
      </c>
      <c r="B154" s="2" t="s">
        <v>21</v>
      </c>
      <c r="C154" s="2" t="s">
        <v>338</v>
      </c>
      <c r="D154" s="2">
        <v>251</v>
      </c>
      <c r="E154" s="2" t="s">
        <v>23</v>
      </c>
      <c r="F154" s="2" t="s">
        <v>21</v>
      </c>
      <c r="G154" s="2">
        <v>34.81</v>
      </c>
      <c r="H154" s="2">
        <v>8.49</v>
      </c>
      <c r="I154" s="21" t="s">
        <v>339</v>
      </c>
      <c r="J154" s="12"/>
      <c r="K154" s="12"/>
      <c r="L154" s="12"/>
      <c r="M154" s="12"/>
      <c r="N154" s="12"/>
      <c r="O154" s="12"/>
      <c r="P154" s="12"/>
    </row>
    <row r="155" s="2" customFormat="1" customHeight="1" spans="1:16">
      <c r="A155" s="2" t="s">
        <v>340</v>
      </c>
      <c r="B155" s="2" t="s">
        <v>21</v>
      </c>
      <c r="C155" s="2" t="s">
        <v>341</v>
      </c>
      <c r="D155" s="2">
        <v>256</v>
      </c>
      <c r="E155" s="2" t="s">
        <v>23</v>
      </c>
      <c r="F155" s="2" t="s">
        <v>21</v>
      </c>
      <c r="G155" s="2">
        <v>35.89</v>
      </c>
      <c r="H155" s="8"/>
      <c r="I155" s="21" t="s">
        <v>342</v>
      </c>
      <c r="J155" s="12">
        <v>256</v>
      </c>
      <c r="K155" s="12">
        <v>0</v>
      </c>
      <c r="L155" s="12">
        <v>256</v>
      </c>
      <c r="M155" s="12">
        <v>0</v>
      </c>
      <c r="N155" s="12"/>
      <c r="O155" s="12"/>
      <c r="P155" s="12"/>
    </row>
    <row r="156" s="2" customFormat="1" customHeight="1" spans="1:16">
      <c r="A156" s="2" t="s">
        <v>340</v>
      </c>
      <c r="B156" s="2" t="s">
        <v>21</v>
      </c>
      <c r="C156" s="2" t="s">
        <v>343</v>
      </c>
      <c r="D156" s="2">
        <v>60</v>
      </c>
      <c r="E156" s="2" t="s">
        <v>23</v>
      </c>
      <c r="F156" s="2" t="s">
        <v>21</v>
      </c>
      <c r="G156" s="2">
        <v>40.87</v>
      </c>
      <c r="H156" s="8"/>
      <c r="I156" s="21" t="s">
        <v>342</v>
      </c>
      <c r="J156" s="12">
        <v>60</v>
      </c>
      <c r="K156" s="12">
        <v>0</v>
      </c>
      <c r="L156" s="12">
        <v>60</v>
      </c>
      <c r="M156" s="12">
        <v>0</v>
      </c>
      <c r="N156" s="12"/>
      <c r="O156" s="12"/>
      <c r="P156" s="12"/>
    </row>
    <row r="157" s="2" customFormat="1" customHeight="1" spans="1:16">
      <c r="A157" s="2" t="s">
        <v>344</v>
      </c>
      <c r="B157" s="2" t="s">
        <v>21</v>
      </c>
      <c r="C157" s="2" t="s">
        <v>341</v>
      </c>
      <c r="D157" s="2">
        <v>200</v>
      </c>
      <c r="E157" s="2" t="s">
        <v>23</v>
      </c>
      <c r="F157" s="2" t="s">
        <v>21</v>
      </c>
      <c r="G157" s="2">
        <v>30.41</v>
      </c>
      <c r="H157" s="8"/>
      <c r="I157" s="21" t="s">
        <v>345</v>
      </c>
      <c r="J157" s="12"/>
      <c r="K157" s="12"/>
      <c r="L157" s="12"/>
      <c r="M157" s="12"/>
      <c r="N157" s="12"/>
      <c r="O157" s="12"/>
      <c r="P157" s="12"/>
    </row>
    <row r="158" s="2" customFormat="1" customHeight="1" spans="1:16">
      <c r="A158" s="2" t="s">
        <v>344</v>
      </c>
      <c r="B158" s="2" t="s">
        <v>21</v>
      </c>
      <c r="C158" s="2" t="s">
        <v>346</v>
      </c>
      <c r="D158" s="2">
        <v>47</v>
      </c>
      <c r="E158" s="2" t="s">
        <v>23</v>
      </c>
      <c r="F158" s="2" t="s">
        <v>21</v>
      </c>
      <c r="G158" s="2">
        <v>37.86</v>
      </c>
      <c r="H158" s="8"/>
      <c r="I158" s="21" t="s">
        <v>347</v>
      </c>
      <c r="J158" s="12"/>
      <c r="K158" s="12"/>
      <c r="L158" s="12"/>
      <c r="M158" s="12"/>
      <c r="N158" s="12"/>
      <c r="O158" s="12"/>
      <c r="P158" s="12"/>
    </row>
    <row r="159" s="2" customFormat="1" customHeight="1" spans="1:16">
      <c r="A159" s="2" t="s">
        <v>348</v>
      </c>
      <c r="B159" s="2" t="s">
        <v>21</v>
      </c>
      <c r="C159" s="2" t="s">
        <v>349</v>
      </c>
      <c r="D159" s="2">
        <v>132</v>
      </c>
      <c r="E159" s="2" t="s">
        <v>23</v>
      </c>
      <c r="F159" s="2" t="s">
        <v>21</v>
      </c>
      <c r="G159" s="2">
        <v>31.12</v>
      </c>
      <c r="H159" s="2">
        <v>5.88</v>
      </c>
      <c r="I159" s="21" t="s">
        <v>350</v>
      </c>
      <c r="J159" s="12"/>
      <c r="K159" s="12"/>
      <c r="L159" s="12"/>
      <c r="M159" s="12"/>
      <c r="N159" s="12"/>
      <c r="O159" s="12"/>
      <c r="P159" s="12"/>
    </row>
    <row r="160" s="2" customFormat="1" customHeight="1" spans="1:16">
      <c r="A160" s="2" t="s">
        <v>348</v>
      </c>
      <c r="B160" s="2" t="s">
        <v>21</v>
      </c>
      <c r="C160" s="2" t="s">
        <v>120</v>
      </c>
      <c r="D160" s="2">
        <v>132</v>
      </c>
      <c r="E160" s="2" t="s">
        <v>23</v>
      </c>
      <c r="F160" s="2" t="s">
        <v>21</v>
      </c>
      <c r="G160" s="2">
        <v>26.01</v>
      </c>
      <c r="H160" s="2">
        <v>3.12</v>
      </c>
      <c r="I160" s="21" t="s">
        <v>350</v>
      </c>
      <c r="J160" s="12"/>
      <c r="K160" s="12"/>
      <c r="L160" s="12"/>
      <c r="M160" s="12"/>
      <c r="N160" s="12"/>
      <c r="O160" s="12"/>
      <c r="P160" s="12"/>
    </row>
    <row r="161" s="2" customFormat="1" customHeight="1" spans="1:16">
      <c r="A161" s="2" t="s">
        <v>351</v>
      </c>
      <c r="B161" s="2" t="s">
        <v>21</v>
      </c>
      <c r="C161" s="2" t="s">
        <v>349</v>
      </c>
      <c r="D161" s="2">
        <v>72</v>
      </c>
      <c r="E161" s="2" t="s">
        <v>23</v>
      </c>
      <c r="F161" s="2" t="s">
        <v>21</v>
      </c>
      <c r="G161" s="8"/>
      <c r="H161" s="8"/>
      <c r="I161" s="21" t="s">
        <v>352</v>
      </c>
      <c r="J161" s="12"/>
      <c r="K161" s="12"/>
      <c r="L161" s="12"/>
      <c r="M161" s="12"/>
      <c r="N161" s="12"/>
      <c r="O161" s="12"/>
      <c r="P161" s="12"/>
    </row>
    <row r="162" s="2" customFormat="1" customHeight="1" spans="1:16">
      <c r="A162" s="2" t="s">
        <v>351</v>
      </c>
      <c r="B162" s="2" t="s">
        <v>21</v>
      </c>
      <c r="C162" s="2" t="s">
        <v>120</v>
      </c>
      <c r="D162" s="2">
        <v>257</v>
      </c>
      <c r="E162" s="2" t="s">
        <v>23</v>
      </c>
      <c r="F162" s="2" t="s">
        <v>21</v>
      </c>
      <c r="G162" s="8"/>
      <c r="H162" s="8"/>
      <c r="I162" s="21" t="s">
        <v>352</v>
      </c>
      <c r="J162" s="12"/>
      <c r="K162" s="12"/>
      <c r="L162" s="12"/>
      <c r="M162" s="12"/>
      <c r="N162" s="12"/>
      <c r="O162" s="12"/>
      <c r="P162" s="12"/>
    </row>
    <row r="163" s="2" customFormat="1" customHeight="1" spans="1:16">
      <c r="A163" s="2" t="s">
        <v>353</v>
      </c>
      <c r="B163" s="2" t="s">
        <v>21</v>
      </c>
      <c r="D163" s="2">
        <v>822</v>
      </c>
      <c r="E163" s="2" t="s">
        <v>23</v>
      </c>
      <c r="F163" s="2" t="s">
        <v>21</v>
      </c>
      <c r="G163" s="8"/>
      <c r="H163" s="8"/>
      <c r="I163" s="21" t="s">
        <v>354</v>
      </c>
      <c r="J163" s="12">
        <v>822</v>
      </c>
      <c r="K163" s="12">
        <v>0</v>
      </c>
      <c r="L163" s="12">
        <v>822</v>
      </c>
      <c r="M163" s="12">
        <v>0</v>
      </c>
      <c r="N163" s="12"/>
      <c r="O163" s="12"/>
      <c r="P163" s="12"/>
    </row>
    <row r="164" s="2" customFormat="1" customHeight="1" spans="1:16">
      <c r="A164" s="2" t="s">
        <v>355</v>
      </c>
      <c r="B164" s="2" t="s">
        <v>21</v>
      </c>
      <c r="C164" s="2" t="s">
        <v>122</v>
      </c>
      <c r="D164" s="2">
        <v>68</v>
      </c>
      <c r="E164" s="2" t="s">
        <v>23</v>
      </c>
      <c r="F164" s="2" t="s">
        <v>21</v>
      </c>
      <c r="G164" s="8"/>
      <c r="H164" s="8"/>
      <c r="I164" s="21" t="s">
        <v>356</v>
      </c>
      <c r="J164" s="12">
        <v>0.703</v>
      </c>
      <c r="K164" s="12">
        <f>1-J164</f>
        <v>0.297</v>
      </c>
      <c r="L164" s="12"/>
      <c r="M164" s="12"/>
      <c r="N164" s="12"/>
      <c r="O164" s="12"/>
      <c r="P164" s="12"/>
    </row>
    <row r="165" s="2" customFormat="1" customHeight="1" spans="1:16">
      <c r="A165" s="2" t="s">
        <v>355</v>
      </c>
      <c r="B165" s="2" t="s">
        <v>21</v>
      </c>
      <c r="C165" s="2" t="s">
        <v>341</v>
      </c>
      <c r="D165" s="2">
        <v>215</v>
      </c>
      <c r="E165" s="2" t="s">
        <v>23</v>
      </c>
      <c r="F165" s="2" t="s">
        <v>21</v>
      </c>
      <c r="G165" s="8"/>
      <c r="H165" s="8"/>
      <c r="I165" s="21" t="s">
        <v>357</v>
      </c>
      <c r="J165" s="12">
        <v>0.692</v>
      </c>
      <c r="K165" s="12">
        <f>1-J165</f>
        <v>0.308</v>
      </c>
      <c r="L165" s="12"/>
      <c r="M165" s="12"/>
      <c r="N165" s="12"/>
      <c r="O165" s="12"/>
      <c r="P165" s="12"/>
    </row>
    <row r="166" s="2" customFormat="1" customHeight="1" spans="1:16">
      <c r="A166" s="2" t="s">
        <v>358</v>
      </c>
      <c r="B166" s="2" t="s">
        <v>21</v>
      </c>
      <c r="D166" s="2">
        <v>265</v>
      </c>
      <c r="E166" s="2" t="s">
        <v>23</v>
      </c>
      <c r="F166" s="2" t="s">
        <v>21</v>
      </c>
      <c r="G166" s="2">
        <v>34.92</v>
      </c>
      <c r="H166" s="2">
        <v>9.55</v>
      </c>
      <c r="I166" s="21" t="s">
        <v>359</v>
      </c>
      <c r="J166" s="12">
        <v>0.1056</v>
      </c>
      <c r="K166" s="12">
        <v>0.8942</v>
      </c>
      <c r="L166" s="12">
        <v>0.4565</v>
      </c>
      <c r="M166" s="12">
        <v>0.5433</v>
      </c>
      <c r="N166" s="12"/>
      <c r="O166" s="12"/>
      <c r="P166" s="12"/>
    </row>
    <row r="167" s="2" customFormat="1" customHeight="1" spans="1:16">
      <c r="A167" s="2" t="s">
        <v>360</v>
      </c>
      <c r="B167" s="2" t="s">
        <v>21</v>
      </c>
      <c r="D167" s="2">
        <v>788</v>
      </c>
      <c r="E167" s="2" t="s">
        <v>23</v>
      </c>
      <c r="F167" s="2" t="s">
        <v>21</v>
      </c>
      <c r="G167" s="2">
        <v>25.49</v>
      </c>
      <c r="H167" s="2">
        <v>2.34</v>
      </c>
      <c r="I167" s="21" t="s">
        <v>361</v>
      </c>
      <c r="J167" s="12"/>
      <c r="K167" s="12"/>
      <c r="L167" s="12"/>
      <c r="M167" s="12"/>
      <c r="N167" s="12">
        <v>15.12</v>
      </c>
      <c r="O167" s="12">
        <v>1.54</v>
      </c>
      <c r="P167" s="12"/>
    </row>
    <row r="168" s="2" customFormat="1" customHeight="1" spans="1:16">
      <c r="A168" s="2" t="s">
        <v>362</v>
      </c>
      <c r="B168" s="2" t="s">
        <v>21</v>
      </c>
      <c r="D168" s="2">
        <v>65</v>
      </c>
      <c r="E168" s="2" t="s">
        <v>23</v>
      </c>
      <c r="F168" s="2" t="s">
        <v>21</v>
      </c>
      <c r="G168" s="2">
        <v>37.97</v>
      </c>
      <c r="H168" s="8"/>
      <c r="I168" s="21" t="s">
        <v>363</v>
      </c>
      <c r="J168" s="12"/>
      <c r="K168" s="12"/>
      <c r="L168" s="12"/>
      <c r="M168" s="12"/>
      <c r="N168" s="12"/>
      <c r="O168" s="12"/>
      <c r="P168" s="12"/>
    </row>
    <row r="169" s="2" customFormat="1" customHeight="1" spans="1:16">
      <c r="A169" s="2" t="s">
        <v>364</v>
      </c>
      <c r="B169" s="2" t="s">
        <v>21</v>
      </c>
      <c r="C169" s="2" t="s">
        <v>365</v>
      </c>
      <c r="D169" s="2">
        <v>25</v>
      </c>
      <c r="E169" s="2" t="s">
        <v>37</v>
      </c>
      <c r="F169" s="2" t="s">
        <v>21</v>
      </c>
      <c r="G169" s="2">
        <v>24.71</v>
      </c>
      <c r="H169" s="2">
        <v>4.61</v>
      </c>
      <c r="I169" s="21" t="s">
        <v>366</v>
      </c>
      <c r="J169" s="12"/>
      <c r="K169" s="12"/>
      <c r="L169" s="12"/>
      <c r="M169" s="12"/>
      <c r="N169" s="12">
        <v>13.67</v>
      </c>
      <c r="O169" s="12">
        <v>2.9</v>
      </c>
      <c r="P169" s="12"/>
    </row>
    <row r="170" s="2" customFormat="1" customHeight="1" spans="1:16">
      <c r="A170" s="2" t="s">
        <v>364</v>
      </c>
      <c r="B170" s="2" t="s">
        <v>21</v>
      </c>
      <c r="C170" s="2" t="s">
        <v>105</v>
      </c>
      <c r="D170" s="2">
        <v>31</v>
      </c>
      <c r="E170" s="2" t="s">
        <v>37</v>
      </c>
      <c r="F170" s="2" t="s">
        <v>21</v>
      </c>
      <c r="G170" s="2">
        <v>20.66</v>
      </c>
      <c r="H170" s="2">
        <v>3.14</v>
      </c>
      <c r="I170" s="21" t="s">
        <v>367</v>
      </c>
      <c r="J170" s="12"/>
      <c r="K170" s="12"/>
      <c r="L170" s="12"/>
      <c r="M170" s="12"/>
      <c r="N170" s="12">
        <v>13.1</v>
      </c>
      <c r="O170" s="12">
        <v>1.63</v>
      </c>
      <c r="P170" s="12"/>
    </row>
    <row r="171" s="2" customFormat="1" customHeight="1" spans="1:16">
      <c r="A171" s="2" t="s">
        <v>368</v>
      </c>
      <c r="B171" s="2" t="s">
        <v>21</v>
      </c>
      <c r="D171" s="2">
        <v>358</v>
      </c>
      <c r="E171" s="2" t="s">
        <v>37</v>
      </c>
      <c r="F171" s="2" t="s">
        <v>21</v>
      </c>
      <c r="G171" s="8"/>
      <c r="H171" s="8"/>
      <c r="I171" s="21" t="s">
        <v>369</v>
      </c>
      <c r="J171" s="12">
        <v>7</v>
      </c>
      <c r="K171" s="12">
        <v>351</v>
      </c>
      <c r="L171" s="12">
        <v>276</v>
      </c>
      <c r="M171" s="12">
        <v>82</v>
      </c>
      <c r="N171" s="12"/>
      <c r="O171" s="12"/>
      <c r="P171" s="12"/>
    </row>
    <row r="172" s="2" customFormat="1" customHeight="1" spans="1:16">
      <c r="A172" s="2" t="s">
        <v>370</v>
      </c>
      <c r="B172" s="2" t="s">
        <v>21</v>
      </c>
      <c r="C172" s="2" t="s">
        <v>25</v>
      </c>
      <c r="D172" s="2">
        <v>377</v>
      </c>
      <c r="E172" s="2" t="s">
        <v>23</v>
      </c>
      <c r="F172" s="2" t="s">
        <v>21</v>
      </c>
      <c r="G172" s="2">
        <v>35.91</v>
      </c>
      <c r="H172" s="2">
        <v>10.09</v>
      </c>
      <c r="I172" s="21" t="s">
        <v>371</v>
      </c>
      <c r="J172" s="12"/>
      <c r="K172" s="12"/>
      <c r="L172" s="12"/>
      <c r="M172" s="12"/>
      <c r="N172" s="12"/>
      <c r="O172" s="12"/>
      <c r="P172" s="12"/>
    </row>
    <row r="173" s="2" customFormat="1" customHeight="1" spans="1:16">
      <c r="A173" s="2" t="s">
        <v>370</v>
      </c>
      <c r="B173" s="2" t="s">
        <v>21</v>
      </c>
      <c r="C173" s="2" t="s">
        <v>22</v>
      </c>
      <c r="D173" s="2">
        <v>644</v>
      </c>
      <c r="E173" s="2" t="s">
        <v>23</v>
      </c>
      <c r="F173" s="2" t="s">
        <v>21</v>
      </c>
      <c r="G173" s="2">
        <v>34.52</v>
      </c>
      <c r="H173" s="2">
        <v>7.58</v>
      </c>
      <c r="I173" s="21" t="s">
        <v>371</v>
      </c>
      <c r="J173" s="12"/>
      <c r="K173" s="12"/>
      <c r="L173" s="12"/>
      <c r="M173" s="12"/>
      <c r="N173" s="12"/>
      <c r="O173" s="12"/>
      <c r="P173" s="12"/>
    </row>
    <row r="174" s="2" customFormat="1" customHeight="1" spans="1:16">
      <c r="A174" s="2" t="s">
        <v>372</v>
      </c>
      <c r="B174" s="2" t="s">
        <v>21</v>
      </c>
      <c r="C174" s="2" t="s">
        <v>22</v>
      </c>
      <c r="D174" s="2">
        <v>1708</v>
      </c>
      <c r="E174" s="2" t="s">
        <v>23</v>
      </c>
      <c r="F174" s="2" t="s">
        <v>21</v>
      </c>
      <c r="G174" s="2">
        <v>39.17</v>
      </c>
      <c r="H174" s="2">
        <v>2.47</v>
      </c>
      <c r="I174" s="21" t="s">
        <v>373</v>
      </c>
      <c r="J174" s="12">
        <v>0.616</v>
      </c>
      <c r="K174" s="12">
        <v>0.372</v>
      </c>
      <c r="L174" s="12"/>
      <c r="M174" s="12"/>
      <c r="N174" s="12"/>
      <c r="O174" s="12"/>
      <c r="P174" s="12"/>
    </row>
    <row r="175" s="2" customFormat="1" customHeight="1" spans="1:16">
      <c r="A175" s="2" t="s">
        <v>374</v>
      </c>
      <c r="B175" s="2" t="s">
        <v>21</v>
      </c>
      <c r="D175" s="2">
        <v>176</v>
      </c>
      <c r="E175" s="2" t="s">
        <v>23</v>
      </c>
      <c r="F175" s="2" t="s">
        <v>21</v>
      </c>
      <c r="G175" s="8"/>
      <c r="H175" s="8"/>
      <c r="I175" s="21" t="s">
        <v>375</v>
      </c>
      <c r="J175" s="12">
        <v>163</v>
      </c>
      <c r="K175" s="12">
        <v>13</v>
      </c>
      <c r="L175" s="12">
        <v>176</v>
      </c>
      <c r="M175" s="12">
        <v>0</v>
      </c>
      <c r="N175" s="12"/>
      <c r="O175" s="12"/>
      <c r="P175" s="12"/>
    </row>
    <row r="176" s="2" customFormat="1" customHeight="1" spans="1:16">
      <c r="A176" s="2" t="s">
        <v>376</v>
      </c>
      <c r="B176" s="2" t="s">
        <v>21</v>
      </c>
      <c r="D176" s="2">
        <v>537</v>
      </c>
      <c r="E176" s="2" t="s">
        <v>23</v>
      </c>
      <c r="F176" s="2" t="s">
        <v>21</v>
      </c>
      <c r="G176" s="2">
        <v>35.02</v>
      </c>
      <c r="H176" s="2">
        <v>4.48</v>
      </c>
      <c r="I176" s="21" t="s">
        <v>377</v>
      </c>
      <c r="J176" s="12"/>
      <c r="K176" s="12"/>
      <c r="L176" s="12"/>
      <c r="M176" s="12"/>
      <c r="N176" s="12"/>
      <c r="O176" s="12"/>
      <c r="P176" s="12"/>
    </row>
    <row r="177" s="2" customFormat="1" customHeight="1" spans="1:16">
      <c r="A177" s="2" t="s">
        <v>378</v>
      </c>
      <c r="B177" s="2" t="s">
        <v>21</v>
      </c>
      <c r="C177" s="2" t="s">
        <v>379</v>
      </c>
      <c r="D177" s="2">
        <v>129</v>
      </c>
      <c r="E177" s="2" t="s">
        <v>23</v>
      </c>
      <c r="F177" s="2" t="s">
        <v>21</v>
      </c>
      <c r="G177" s="2">
        <v>22.35</v>
      </c>
      <c r="H177" s="2">
        <v>5.68</v>
      </c>
      <c r="I177" s="21" t="s">
        <v>380</v>
      </c>
      <c r="J177" s="12"/>
      <c r="K177" s="12"/>
      <c r="L177" s="12"/>
      <c r="M177" s="12"/>
      <c r="N177" s="12"/>
      <c r="O177" s="12"/>
      <c r="P177" s="12"/>
    </row>
    <row r="178" s="2" customFormat="1" customHeight="1" spans="1:16">
      <c r="A178" s="2" t="s">
        <v>378</v>
      </c>
      <c r="B178" s="2" t="s">
        <v>21</v>
      </c>
      <c r="C178" s="2" t="s">
        <v>381</v>
      </c>
      <c r="D178" s="2">
        <v>235</v>
      </c>
      <c r="E178" s="2" t="s">
        <v>23</v>
      </c>
      <c r="F178" s="2" t="s">
        <v>21</v>
      </c>
      <c r="G178" s="2">
        <v>22.62</v>
      </c>
      <c r="H178" s="2">
        <v>7.12</v>
      </c>
      <c r="I178" s="21" t="s">
        <v>380</v>
      </c>
      <c r="J178" s="12"/>
      <c r="K178" s="12"/>
      <c r="L178" s="12"/>
      <c r="M178" s="12"/>
      <c r="N178" s="12"/>
      <c r="O178" s="12"/>
      <c r="P178" s="12"/>
    </row>
    <row r="179" s="2" customFormat="1" customHeight="1" spans="1:16">
      <c r="A179" s="2" t="s">
        <v>378</v>
      </c>
      <c r="B179" s="2" t="s">
        <v>21</v>
      </c>
      <c r="C179" s="2" t="s">
        <v>382</v>
      </c>
      <c r="D179" s="2">
        <v>1064</v>
      </c>
      <c r="E179" s="2" t="s">
        <v>23</v>
      </c>
      <c r="F179" s="2" t="s">
        <v>21</v>
      </c>
      <c r="G179" s="2">
        <v>19.05</v>
      </c>
      <c r="H179" s="2">
        <v>3.94</v>
      </c>
      <c r="I179" s="21" t="s">
        <v>380</v>
      </c>
      <c r="J179" s="12"/>
      <c r="K179" s="12"/>
      <c r="L179" s="12"/>
      <c r="M179" s="12"/>
      <c r="N179" s="12"/>
      <c r="O179" s="12"/>
      <c r="P179" s="12"/>
    </row>
    <row r="180" s="2" customFormat="1" customHeight="1" spans="1:16">
      <c r="A180" s="2" t="s">
        <v>378</v>
      </c>
      <c r="B180" s="2" t="s">
        <v>21</v>
      </c>
      <c r="C180" s="2" t="s">
        <v>383</v>
      </c>
      <c r="D180" s="2">
        <v>1167</v>
      </c>
      <c r="E180" s="2" t="s">
        <v>23</v>
      </c>
      <c r="F180" s="2" t="s">
        <v>21</v>
      </c>
      <c r="G180" s="2">
        <v>19.5</v>
      </c>
      <c r="H180" s="2">
        <v>4.17</v>
      </c>
      <c r="I180" s="21" t="s">
        <v>380</v>
      </c>
      <c r="J180" s="12"/>
      <c r="K180" s="12"/>
      <c r="L180" s="12"/>
      <c r="M180" s="12"/>
      <c r="N180" s="12"/>
      <c r="O180" s="12"/>
      <c r="P180" s="12"/>
    </row>
    <row r="181" s="2" customFormat="1" customHeight="1" spans="1:16">
      <c r="A181" s="2" t="s">
        <v>384</v>
      </c>
      <c r="B181" s="2" t="s">
        <v>21</v>
      </c>
      <c r="D181" s="2">
        <v>72</v>
      </c>
      <c r="E181" s="2" t="s">
        <v>23</v>
      </c>
      <c r="F181" s="2" t="s">
        <v>21</v>
      </c>
      <c r="G181" s="2">
        <v>32.11</v>
      </c>
      <c r="H181" s="2">
        <v>5.94</v>
      </c>
      <c r="I181" s="21" t="s">
        <v>385</v>
      </c>
      <c r="J181" s="12">
        <v>72</v>
      </c>
      <c r="K181" s="12">
        <v>0</v>
      </c>
      <c r="L181" s="12">
        <v>72</v>
      </c>
      <c r="M181" s="12">
        <v>0</v>
      </c>
      <c r="N181" s="12"/>
      <c r="O181" s="12"/>
      <c r="P181" s="12"/>
    </row>
    <row r="182" s="2" customFormat="1" customHeight="1" spans="1:16">
      <c r="A182" s="2" t="s">
        <v>384</v>
      </c>
      <c r="B182" s="2" t="s">
        <v>128</v>
      </c>
      <c r="D182" s="2">
        <v>151</v>
      </c>
      <c r="E182" s="2" t="s">
        <v>23</v>
      </c>
      <c r="F182" s="2" t="s">
        <v>21</v>
      </c>
      <c r="G182" s="2">
        <v>31.77</v>
      </c>
      <c r="H182" s="2">
        <v>6.4</v>
      </c>
      <c r="I182" s="21" t="s">
        <v>386</v>
      </c>
      <c r="J182" s="12">
        <v>151</v>
      </c>
      <c r="K182" s="12">
        <v>0</v>
      </c>
      <c r="L182" s="12">
        <v>151</v>
      </c>
      <c r="M182" s="12">
        <v>0</v>
      </c>
      <c r="N182" s="12"/>
      <c r="O182" s="12"/>
      <c r="P182" s="12"/>
    </row>
    <row r="183" s="2" customFormat="1" customHeight="1" spans="1:16">
      <c r="A183" s="2" t="s">
        <v>387</v>
      </c>
      <c r="B183" s="2" t="s">
        <v>388</v>
      </c>
      <c r="D183" s="2">
        <v>91</v>
      </c>
      <c r="E183" s="2" t="s">
        <v>23</v>
      </c>
      <c r="F183" s="2" t="s">
        <v>21</v>
      </c>
      <c r="G183" s="2">
        <v>25.74</v>
      </c>
      <c r="H183" s="2">
        <v>4.72</v>
      </c>
      <c r="I183" s="21" t="s">
        <v>389</v>
      </c>
      <c r="J183" s="12"/>
      <c r="K183" s="12"/>
      <c r="L183" s="12"/>
      <c r="M183" s="12"/>
      <c r="N183" s="12"/>
      <c r="O183" s="12"/>
      <c r="P183" s="12"/>
    </row>
    <row r="184" s="2" customFormat="1" customHeight="1" spans="1:16">
      <c r="A184" s="2" t="s">
        <v>387</v>
      </c>
      <c r="B184" s="2" t="s">
        <v>390</v>
      </c>
      <c r="D184" s="2">
        <v>220</v>
      </c>
      <c r="E184" s="2" t="s">
        <v>23</v>
      </c>
      <c r="F184" s="2" t="s">
        <v>21</v>
      </c>
      <c r="G184" s="2">
        <v>24.02</v>
      </c>
      <c r="H184" s="2">
        <v>3.54</v>
      </c>
      <c r="I184" s="21" t="s">
        <v>391</v>
      </c>
      <c r="J184" s="12"/>
      <c r="K184" s="12"/>
      <c r="L184" s="12"/>
      <c r="M184" s="12"/>
      <c r="N184" s="12"/>
      <c r="O184" s="12"/>
      <c r="P184" s="12"/>
    </row>
    <row r="185" s="2" customFormat="1" customHeight="1" spans="1:16">
      <c r="A185" s="2" t="s">
        <v>387</v>
      </c>
      <c r="B185" s="2" t="s">
        <v>128</v>
      </c>
      <c r="C185" s="2" t="s">
        <v>392</v>
      </c>
      <c r="D185" s="2">
        <v>173</v>
      </c>
      <c r="E185" s="2" t="s">
        <v>23</v>
      </c>
      <c r="F185" s="2" t="s">
        <v>21</v>
      </c>
      <c r="G185" s="2">
        <v>33.52</v>
      </c>
      <c r="H185" s="2">
        <v>7.63</v>
      </c>
      <c r="I185" s="21" t="s">
        <v>393</v>
      </c>
      <c r="J185" s="12"/>
      <c r="K185" s="12"/>
      <c r="L185" s="12">
        <v>173</v>
      </c>
      <c r="M185" s="12">
        <v>0</v>
      </c>
      <c r="N185" s="12"/>
      <c r="O185" s="12"/>
      <c r="P185" s="12"/>
    </row>
    <row r="186" s="2" customFormat="1" customHeight="1" spans="1:16">
      <c r="A186" s="2" t="s">
        <v>387</v>
      </c>
      <c r="B186" s="2" t="s">
        <v>128</v>
      </c>
      <c r="C186" s="2" t="s">
        <v>394</v>
      </c>
      <c r="D186" s="2">
        <v>178</v>
      </c>
      <c r="E186" s="2" t="s">
        <v>23</v>
      </c>
      <c r="F186" s="2" t="s">
        <v>21</v>
      </c>
      <c r="G186" s="2">
        <v>25.47</v>
      </c>
      <c r="H186" s="2">
        <v>5.29</v>
      </c>
      <c r="I186" s="21" t="s">
        <v>393</v>
      </c>
      <c r="J186" s="12"/>
      <c r="K186" s="12"/>
      <c r="L186" s="12">
        <v>178</v>
      </c>
      <c r="M186" s="12">
        <v>0</v>
      </c>
      <c r="N186" s="12"/>
      <c r="O186" s="12"/>
      <c r="P186" s="12"/>
    </row>
    <row r="187" customHeight="1" spans="1:9">
      <c r="A187" s="22">
        <v>20081025</v>
      </c>
      <c r="B187" s="22">
        <v>1</v>
      </c>
      <c r="C187" s="22" t="s">
        <v>395</v>
      </c>
      <c r="D187" s="23" t="s">
        <v>396</v>
      </c>
      <c r="E187" s="24">
        <v>5</v>
      </c>
      <c r="F187" s="24">
        <v>1</v>
      </c>
      <c r="G187" s="23"/>
      <c r="H187" s="23"/>
      <c r="I187" s="24" t="s">
        <v>397</v>
      </c>
    </row>
    <row r="188" customHeight="1" spans="1:9">
      <c r="A188" s="22">
        <v>20081025</v>
      </c>
      <c r="B188" s="22">
        <v>2</v>
      </c>
      <c r="C188" s="22"/>
      <c r="D188" s="23" t="s">
        <v>396</v>
      </c>
      <c r="E188" s="24">
        <v>5</v>
      </c>
      <c r="F188" s="24">
        <v>1</v>
      </c>
      <c r="G188" s="23"/>
      <c r="H188" s="23"/>
      <c r="I188" s="24" t="s">
        <v>397</v>
      </c>
    </row>
    <row r="189" customHeight="1" spans="1:13">
      <c r="A189" s="22">
        <v>20182190</v>
      </c>
      <c r="B189" s="22">
        <v>1</v>
      </c>
      <c r="C189" s="22"/>
      <c r="D189" s="23" t="s">
        <v>398</v>
      </c>
      <c r="E189" s="24">
        <v>5</v>
      </c>
      <c r="F189" s="24">
        <v>1</v>
      </c>
      <c r="G189" s="23" t="s">
        <v>399</v>
      </c>
      <c r="H189" s="23" t="s">
        <v>400</v>
      </c>
      <c r="I189" s="24" t="s">
        <v>401</v>
      </c>
      <c r="J189" s="6">
        <v>340</v>
      </c>
      <c r="K189" s="6">
        <v>65</v>
      </c>
      <c r="L189" s="6">
        <v>340</v>
      </c>
      <c r="M189" s="6">
        <v>65</v>
      </c>
    </row>
    <row r="190" customHeight="1" spans="1:13">
      <c r="A190" s="22">
        <v>20182197</v>
      </c>
      <c r="B190" s="22">
        <v>1</v>
      </c>
      <c r="C190" s="22" t="s">
        <v>402</v>
      </c>
      <c r="D190" s="23" t="s">
        <v>403</v>
      </c>
      <c r="E190" s="24">
        <v>4</v>
      </c>
      <c r="F190" s="24">
        <v>1</v>
      </c>
      <c r="G190" s="23" t="s">
        <v>404</v>
      </c>
      <c r="H190" s="23"/>
      <c r="I190" s="24" t="s">
        <v>405</v>
      </c>
      <c r="J190" s="18">
        <v>227</v>
      </c>
      <c r="K190" s="6">
        <f>D190-227</f>
        <v>24</v>
      </c>
      <c r="L190" s="18">
        <v>227</v>
      </c>
      <c r="M190" s="6">
        <v>24</v>
      </c>
    </row>
    <row r="191" customHeight="1" spans="1:14">
      <c r="A191" s="22">
        <v>20182242</v>
      </c>
      <c r="B191" s="22">
        <v>1</v>
      </c>
      <c r="C191" s="22" t="s">
        <v>406</v>
      </c>
      <c r="D191" s="23" t="s">
        <v>407</v>
      </c>
      <c r="E191" s="24">
        <v>4</v>
      </c>
      <c r="F191" s="24">
        <v>1</v>
      </c>
      <c r="G191" s="23" t="s">
        <v>408</v>
      </c>
      <c r="H191" s="23"/>
      <c r="I191" s="24" t="s">
        <v>409</v>
      </c>
      <c r="N191" s="6">
        <v>14.83</v>
      </c>
    </row>
    <row r="192" customHeight="1" spans="1:14">
      <c r="A192" s="22">
        <v>20182242</v>
      </c>
      <c r="B192" s="22">
        <v>1</v>
      </c>
      <c r="C192" s="22" t="s">
        <v>410</v>
      </c>
      <c r="D192" s="23" t="s">
        <v>407</v>
      </c>
      <c r="E192" s="24">
        <v>4</v>
      </c>
      <c r="F192" s="24">
        <v>1</v>
      </c>
      <c r="G192" s="23" t="s">
        <v>411</v>
      </c>
      <c r="H192" s="23"/>
      <c r="I192" s="24" t="s">
        <v>412</v>
      </c>
      <c r="N192" s="6">
        <v>13.7</v>
      </c>
    </row>
    <row r="193" customHeight="1" spans="1:14">
      <c r="A193" s="22">
        <v>20183036</v>
      </c>
      <c r="B193" s="22">
        <v>1</v>
      </c>
      <c r="C193" s="22" t="s">
        <v>413</v>
      </c>
      <c r="D193" s="23" t="s">
        <v>414</v>
      </c>
      <c r="E193" s="24">
        <v>5</v>
      </c>
      <c r="F193" s="24">
        <v>1</v>
      </c>
      <c r="G193" s="23" t="s">
        <v>415</v>
      </c>
      <c r="H193" s="23" t="s">
        <v>416</v>
      </c>
      <c r="I193" s="24" t="s">
        <v>417</v>
      </c>
      <c r="K193" s="6">
        <v>34</v>
      </c>
      <c r="L193" s="6">
        <v>8</v>
      </c>
      <c r="M193" s="6">
        <v>34</v>
      </c>
      <c r="N193" s="6">
        <v>8</v>
      </c>
    </row>
    <row r="194" customHeight="1" spans="1:14">
      <c r="A194" s="22">
        <v>20183036</v>
      </c>
      <c r="B194" s="22">
        <v>1</v>
      </c>
      <c r="C194" s="22" t="s">
        <v>418</v>
      </c>
      <c r="D194" s="23" t="s">
        <v>419</v>
      </c>
      <c r="E194" s="24">
        <v>5</v>
      </c>
      <c r="F194" s="24">
        <v>1</v>
      </c>
      <c r="G194" s="23" t="s">
        <v>420</v>
      </c>
      <c r="H194" s="23" t="s">
        <v>421</v>
      </c>
      <c r="I194" s="24" t="s">
        <v>422</v>
      </c>
      <c r="K194" s="6">
        <v>33</v>
      </c>
      <c r="L194" s="6">
        <v>6</v>
      </c>
      <c r="M194" s="6">
        <v>33</v>
      </c>
      <c r="N194" s="6">
        <v>6</v>
      </c>
    </row>
    <row r="195" customHeight="1" spans="1:9">
      <c r="A195" s="22">
        <v>20183164</v>
      </c>
      <c r="B195" s="22">
        <v>1</v>
      </c>
      <c r="C195" s="22" t="s">
        <v>89</v>
      </c>
      <c r="D195" s="23" t="s">
        <v>423</v>
      </c>
      <c r="E195" s="24">
        <v>5</v>
      </c>
      <c r="F195" s="24">
        <v>1</v>
      </c>
      <c r="G195" s="23" t="s">
        <v>424</v>
      </c>
      <c r="H195" s="23" t="s">
        <v>425</v>
      </c>
      <c r="I195" s="24" t="s">
        <v>426</v>
      </c>
    </row>
    <row r="196" customHeight="1" spans="1:9">
      <c r="A196" s="22">
        <v>20183164</v>
      </c>
      <c r="B196" s="22">
        <v>1</v>
      </c>
      <c r="C196" s="22" t="s">
        <v>324</v>
      </c>
      <c r="D196" s="23" t="s">
        <v>414</v>
      </c>
      <c r="E196" s="24">
        <v>5</v>
      </c>
      <c r="F196" s="24">
        <v>1</v>
      </c>
      <c r="G196" s="23" t="s">
        <v>427</v>
      </c>
      <c r="H196" s="23" t="s">
        <v>428</v>
      </c>
      <c r="I196" s="24" t="s">
        <v>429</v>
      </c>
    </row>
    <row r="197" customHeight="1" spans="1:15">
      <c r="A197" s="22">
        <v>20183169</v>
      </c>
      <c r="B197" s="22">
        <v>1</v>
      </c>
      <c r="C197" s="22" t="s">
        <v>430</v>
      </c>
      <c r="D197" s="23" t="s">
        <v>431</v>
      </c>
      <c r="E197" s="24">
        <v>5</v>
      </c>
      <c r="F197" s="24">
        <v>1</v>
      </c>
      <c r="G197" s="23" t="s">
        <v>432</v>
      </c>
      <c r="H197" s="23" t="s">
        <v>433</v>
      </c>
      <c r="I197" s="24" t="s">
        <v>434</v>
      </c>
      <c r="N197" s="6">
        <v>7.6</v>
      </c>
      <c r="O197" s="6">
        <v>1.89</v>
      </c>
    </row>
    <row r="198" customHeight="1" spans="1:15">
      <c r="A198" s="22">
        <v>20183362</v>
      </c>
      <c r="B198" s="22">
        <v>1</v>
      </c>
      <c r="C198" s="22" t="s">
        <v>435</v>
      </c>
      <c r="D198" s="23" t="s">
        <v>436</v>
      </c>
      <c r="E198" s="24">
        <v>5</v>
      </c>
      <c r="F198" s="24">
        <v>1</v>
      </c>
      <c r="G198" s="23" t="s">
        <v>437</v>
      </c>
      <c r="H198" s="23" t="s">
        <v>438</v>
      </c>
      <c r="I198" s="24" t="s">
        <v>439</v>
      </c>
      <c r="N198" s="6">
        <v>12.41</v>
      </c>
      <c r="O198" s="6">
        <v>3.52</v>
      </c>
    </row>
    <row r="199" customHeight="1" spans="1:15">
      <c r="A199" s="22">
        <v>20183362</v>
      </c>
      <c r="B199" s="22">
        <v>1</v>
      </c>
      <c r="C199" s="22" t="s">
        <v>89</v>
      </c>
      <c r="D199" s="23" t="s">
        <v>440</v>
      </c>
      <c r="E199" s="24">
        <v>5</v>
      </c>
      <c r="F199" s="24">
        <v>1</v>
      </c>
      <c r="G199" s="23" t="s">
        <v>441</v>
      </c>
      <c r="H199" s="23" t="s">
        <v>442</v>
      </c>
      <c r="I199" s="24" t="s">
        <v>443</v>
      </c>
      <c r="N199" s="6">
        <v>12.58</v>
      </c>
      <c r="O199" s="6">
        <v>3.82</v>
      </c>
    </row>
    <row r="200" customHeight="1" spans="1:13">
      <c r="A200" s="22">
        <v>20213303</v>
      </c>
      <c r="B200" s="22">
        <v>1</v>
      </c>
      <c r="C200" s="22"/>
      <c r="D200" s="23" t="s">
        <v>444</v>
      </c>
      <c r="E200" s="24">
        <v>5</v>
      </c>
      <c r="F200" s="24">
        <v>1</v>
      </c>
      <c r="G200" s="23"/>
      <c r="H200" s="23"/>
      <c r="I200" s="24" t="s">
        <v>445</v>
      </c>
      <c r="J200" s="6">
        <v>28</v>
      </c>
      <c r="K200" s="6">
        <v>57</v>
      </c>
      <c r="L200" s="6">
        <v>28</v>
      </c>
      <c r="M200" s="6">
        <v>57</v>
      </c>
    </row>
  </sheetData>
  <conditionalFormatting sqref="I1:I186 I201:I1048576">
    <cfRule type="containsText" dxfId="0" priority="1" operator="between" text="小学">
      <formula>NOT(ISERROR(SEARCH("小学",I1)))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9"/>
  <sheetViews>
    <sheetView workbookViewId="0">
      <pane xSplit="2" ySplit="1" topLeftCell="G166" activePane="bottomRight" state="frozen"/>
      <selection/>
      <selection pane="topRight"/>
      <selection pane="bottomLeft"/>
      <selection pane="bottomRight" activeCell="J215" sqref="J215"/>
    </sheetView>
  </sheetViews>
  <sheetFormatPr defaultColWidth="9" defaultRowHeight="14.4"/>
  <cols>
    <col min="1" max="1" width="20.5555555555556" customWidth="1"/>
    <col min="2" max="2" width="19.7777777777778" customWidth="1"/>
    <col min="3" max="3" width="18.7777777777778" customWidth="1"/>
    <col min="4" max="4" width="21" customWidth="1"/>
    <col min="5" max="5" width="16.4444444444444" hidden="1" customWidth="1"/>
    <col min="6" max="6" width="17.2222222222222" hidden="1" customWidth="1"/>
    <col min="7" max="8" width="17.2222222222222" style="5" customWidth="1"/>
    <col min="9" max="14" width="17.2222222222222" style="6" customWidth="1"/>
    <col min="15" max="15" width="8.88888888888889" customWidth="1"/>
  </cols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6</v>
      </c>
      <c r="H1" s="7" t="s">
        <v>7</v>
      </c>
      <c r="I1" s="11" t="s">
        <v>446</v>
      </c>
      <c r="J1" s="11" t="s">
        <v>447</v>
      </c>
      <c r="K1" s="11" t="s">
        <v>448</v>
      </c>
      <c r="L1" s="11" t="s">
        <v>449</v>
      </c>
      <c r="M1" s="11" t="s">
        <v>450</v>
      </c>
      <c r="N1" s="11" t="s">
        <v>451</v>
      </c>
      <c r="O1" s="1" t="s">
        <v>8</v>
      </c>
      <c r="P1" s="1" t="s">
        <v>452</v>
      </c>
    </row>
    <row r="2" s="2" customFormat="1" spans="1:15">
      <c r="A2" s="2" t="s">
        <v>20</v>
      </c>
      <c r="B2" s="2" t="s">
        <v>21</v>
      </c>
      <c r="C2" s="2" t="s">
        <v>22</v>
      </c>
      <c r="D2" s="2">
        <v>115</v>
      </c>
      <c r="E2" s="2" t="s">
        <v>23</v>
      </c>
      <c r="F2" s="2" t="s">
        <v>21</v>
      </c>
      <c r="G2" s="8">
        <v>31.4</v>
      </c>
      <c r="H2" s="8">
        <v>3.1</v>
      </c>
      <c r="I2" s="12">
        <v>0.763</v>
      </c>
      <c r="J2" s="12">
        <v>0.237</v>
      </c>
      <c r="K2" s="12"/>
      <c r="L2" s="12"/>
      <c r="M2" s="12"/>
      <c r="N2" s="12"/>
      <c r="O2" s="2" t="s">
        <v>24</v>
      </c>
    </row>
    <row r="3" s="2" customFormat="1" spans="1:15">
      <c r="A3" s="2" t="s">
        <v>20</v>
      </c>
      <c r="B3" s="2" t="s">
        <v>21</v>
      </c>
      <c r="C3" s="2" t="s">
        <v>25</v>
      </c>
      <c r="D3" s="2">
        <v>113</v>
      </c>
      <c r="E3" s="2" t="s">
        <v>23</v>
      </c>
      <c r="F3" s="2" t="s">
        <v>21</v>
      </c>
      <c r="G3" s="8">
        <v>33.7</v>
      </c>
      <c r="H3" s="8">
        <v>3.4</v>
      </c>
      <c r="I3" s="12">
        <v>0.797</v>
      </c>
      <c r="J3" s="12">
        <v>0.203</v>
      </c>
      <c r="K3" s="12"/>
      <c r="L3" s="12"/>
      <c r="M3" s="12"/>
      <c r="N3" s="12"/>
      <c r="O3" s="2" t="s">
        <v>26</v>
      </c>
    </row>
    <row r="4" s="2" customFormat="1" spans="1:15">
      <c r="A4" s="2" t="s">
        <v>27</v>
      </c>
      <c r="B4" s="2" t="s">
        <v>21</v>
      </c>
      <c r="C4" s="2" t="s">
        <v>28</v>
      </c>
      <c r="D4" s="2">
        <v>219</v>
      </c>
      <c r="E4" s="2" t="s">
        <v>23</v>
      </c>
      <c r="F4" s="2" t="s">
        <v>21</v>
      </c>
      <c r="G4" s="8">
        <v>29.06</v>
      </c>
      <c r="H4" s="8"/>
      <c r="I4" s="12">
        <v>0.8493</v>
      </c>
      <c r="J4" s="12">
        <v>0.1187</v>
      </c>
      <c r="K4" s="12"/>
      <c r="L4" s="12"/>
      <c r="M4" s="12"/>
      <c r="N4" s="12"/>
      <c r="O4" s="2" t="s">
        <v>29</v>
      </c>
    </row>
    <row r="5" s="2" customFormat="1" spans="1:15">
      <c r="A5" s="2" t="s">
        <v>27</v>
      </c>
      <c r="B5" s="2" t="s">
        <v>21</v>
      </c>
      <c r="C5" s="2" t="s">
        <v>30</v>
      </c>
      <c r="D5" s="2">
        <v>288</v>
      </c>
      <c r="E5" s="2" t="s">
        <v>23</v>
      </c>
      <c r="F5" s="2" t="s">
        <v>21</v>
      </c>
      <c r="G5" s="8">
        <v>31.02</v>
      </c>
      <c r="H5" s="8"/>
      <c r="I5" s="12">
        <v>0.8923</v>
      </c>
      <c r="J5" s="12">
        <v>0.0868</v>
      </c>
      <c r="K5" s="12"/>
      <c r="L5" s="12"/>
      <c r="M5" s="12"/>
      <c r="N5" s="12"/>
      <c r="O5" s="2" t="s">
        <v>31</v>
      </c>
    </row>
    <row r="6" s="2" customFormat="1" spans="1:15">
      <c r="A6" s="2" t="s">
        <v>32</v>
      </c>
      <c r="B6" s="2" t="s">
        <v>21</v>
      </c>
      <c r="C6" s="2" t="s">
        <v>33</v>
      </c>
      <c r="D6" s="2">
        <v>2815</v>
      </c>
      <c r="E6" s="2" t="s">
        <v>23</v>
      </c>
      <c r="F6" s="2" t="s">
        <v>21</v>
      </c>
      <c r="G6" s="8"/>
      <c r="H6" s="8"/>
      <c r="I6" s="12"/>
      <c r="J6" s="12"/>
      <c r="K6" s="12"/>
      <c r="L6" s="12"/>
      <c r="M6" s="12">
        <v>9.1</v>
      </c>
      <c r="N6" s="12">
        <v>3.1</v>
      </c>
      <c r="O6" s="2" t="s">
        <v>34</v>
      </c>
    </row>
    <row r="7" s="2" customFormat="1" spans="1:15">
      <c r="A7" s="2" t="s">
        <v>35</v>
      </c>
      <c r="B7" s="2" t="s">
        <v>21</v>
      </c>
      <c r="C7" s="2" t="s">
        <v>36</v>
      </c>
      <c r="D7" s="2">
        <v>18</v>
      </c>
      <c r="E7" s="2" t="s">
        <v>37</v>
      </c>
      <c r="F7" s="2" t="s">
        <v>21</v>
      </c>
      <c r="G7" s="8">
        <v>23.7</v>
      </c>
      <c r="H7" s="8">
        <v>4.4</v>
      </c>
      <c r="I7" s="12"/>
      <c r="J7" s="12"/>
      <c r="K7" s="12"/>
      <c r="L7" s="12"/>
      <c r="M7" s="12">
        <v>14.1</v>
      </c>
      <c r="N7" s="12">
        <v>1.7</v>
      </c>
      <c r="O7" s="2" t="s">
        <v>38</v>
      </c>
    </row>
    <row r="8" s="2" customFormat="1" spans="1:15">
      <c r="A8" s="2" t="s">
        <v>35</v>
      </c>
      <c r="B8" s="2" t="s">
        <v>21</v>
      </c>
      <c r="C8" s="2" t="s">
        <v>39</v>
      </c>
      <c r="D8" s="2">
        <v>18</v>
      </c>
      <c r="E8" s="2" t="s">
        <v>37</v>
      </c>
      <c r="F8" s="2" t="s">
        <v>21</v>
      </c>
      <c r="G8" s="8">
        <v>24.4</v>
      </c>
      <c r="H8" s="8">
        <v>3.9</v>
      </c>
      <c r="I8" s="12"/>
      <c r="J8" s="12"/>
      <c r="K8" s="12"/>
      <c r="L8" s="12"/>
      <c r="M8" s="12">
        <v>15.3</v>
      </c>
      <c r="N8" s="12">
        <v>2.2</v>
      </c>
      <c r="O8" s="2" t="s">
        <v>40</v>
      </c>
    </row>
    <row r="9" s="2" customFormat="1" spans="1:15">
      <c r="A9" s="2" t="s">
        <v>41</v>
      </c>
      <c r="B9" s="2" t="s">
        <v>21</v>
      </c>
      <c r="D9" s="2">
        <v>52</v>
      </c>
      <c r="E9" s="2" t="s">
        <v>37</v>
      </c>
      <c r="F9" s="2" t="s">
        <v>21</v>
      </c>
      <c r="G9" s="8">
        <v>39.1199999999999</v>
      </c>
      <c r="H9" s="8">
        <v>11.32</v>
      </c>
      <c r="I9" s="12"/>
      <c r="J9" s="12"/>
      <c r="K9" s="12">
        <v>1</v>
      </c>
      <c r="L9" s="12">
        <v>0</v>
      </c>
      <c r="M9" s="12"/>
      <c r="N9" s="12"/>
      <c r="O9" s="2" t="s">
        <v>42</v>
      </c>
    </row>
    <row r="10" s="2" customFormat="1" spans="1:15">
      <c r="A10" s="2" t="s">
        <v>43</v>
      </c>
      <c r="B10" s="2" t="s">
        <v>21</v>
      </c>
      <c r="D10" s="2">
        <v>402</v>
      </c>
      <c r="E10" s="2" t="s">
        <v>23</v>
      </c>
      <c r="F10" s="2" t="s">
        <v>21</v>
      </c>
      <c r="G10" s="8">
        <v>30.57</v>
      </c>
      <c r="H10" s="8">
        <v>7.41</v>
      </c>
      <c r="I10" s="12"/>
      <c r="J10" s="12"/>
      <c r="K10" s="12"/>
      <c r="L10" s="12"/>
      <c r="M10" s="12"/>
      <c r="N10" s="12"/>
      <c r="O10" s="2" t="s">
        <v>44</v>
      </c>
    </row>
    <row r="11" s="2" customFormat="1" spans="1:15">
      <c r="A11" s="2" t="s">
        <v>45</v>
      </c>
      <c r="B11" s="2" t="s">
        <v>21</v>
      </c>
      <c r="D11" s="2">
        <v>201</v>
      </c>
      <c r="E11" s="2" t="s">
        <v>23</v>
      </c>
      <c r="F11" s="2" t="s">
        <v>21</v>
      </c>
      <c r="G11" s="8"/>
      <c r="H11" s="8"/>
      <c r="I11" s="12">
        <v>173</v>
      </c>
      <c r="J11" s="12">
        <v>28</v>
      </c>
      <c r="K11" s="12"/>
      <c r="L11" s="12"/>
      <c r="M11" s="12"/>
      <c r="N11" s="12"/>
      <c r="O11" s="2" t="s">
        <v>46</v>
      </c>
    </row>
    <row r="12" s="3" customFormat="1" spans="1:16">
      <c r="A12" s="3" t="s">
        <v>453</v>
      </c>
      <c r="B12" s="3" t="s">
        <v>21</v>
      </c>
      <c r="C12" s="3" t="s">
        <v>454</v>
      </c>
      <c r="D12" s="3">
        <v>2702</v>
      </c>
      <c r="E12" s="3" t="s">
        <v>37</v>
      </c>
      <c r="F12" s="3" t="s">
        <v>21</v>
      </c>
      <c r="G12" s="9"/>
      <c r="H12" s="9"/>
      <c r="I12" s="13"/>
      <c r="J12" s="13"/>
      <c r="K12" s="13"/>
      <c r="L12" s="13"/>
      <c r="M12" s="13"/>
      <c r="N12" s="13"/>
      <c r="O12" s="3" t="s">
        <v>455</v>
      </c>
      <c r="P12" s="3" t="s">
        <v>456</v>
      </c>
    </row>
    <row r="13" s="2" customFormat="1" spans="1:15">
      <c r="A13" s="2" t="s">
        <v>47</v>
      </c>
      <c r="B13" s="2" t="s">
        <v>21</v>
      </c>
      <c r="D13" s="2">
        <v>305</v>
      </c>
      <c r="E13" s="2" t="s">
        <v>23</v>
      </c>
      <c r="F13" s="2" t="s">
        <v>21</v>
      </c>
      <c r="G13" s="8"/>
      <c r="H13" s="8"/>
      <c r="I13" s="12"/>
      <c r="J13" s="12"/>
      <c r="K13" s="12"/>
      <c r="L13" s="12"/>
      <c r="M13" s="12"/>
      <c r="N13" s="12"/>
      <c r="O13" s="2" t="s">
        <v>48</v>
      </c>
    </row>
    <row r="14" s="2" customFormat="1" spans="1:15">
      <c r="A14" s="2" t="s">
        <v>49</v>
      </c>
      <c r="B14" s="2" t="s">
        <v>21</v>
      </c>
      <c r="D14" s="2">
        <v>292</v>
      </c>
      <c r="E14" s="2" t="s">
        <v>23</v>
      </c>
      <c r="F14" s="2" t="s">
        <v>21</v>
      </c>
      <c r="G14" s="8"/>
      <c r="H14" s="8"/>
      <c r="I14" s="12">
        <v>233</v>
      </c>
      <c r="J14" s="12">
        <v>25</v>
      </c>
      <c r="K14" s="12"/>
      <c r="L14" s="12"/>
      <c r="M14" s="12"/>
      <c r="N14" s="12"/>
      <c r="O14" s="2" t="s">
        <v>50</v>
      </c>
    </row>
    <row r="15" s="4" customFormat="1" spans="1:16">
      <c r="A15" s="4" t="s">
        <v>457</v>
      </c>
      <c r="B15" s="4" t="s">
        <v>21</v>
      </c>
      <c r="D15" s="4">
        <v>632</v>
      </c>
      <c r="E15" s="4" t="s">
        <v>37</v>
      </c>
      <c r="F15" s="4" t="s">
        <v>21</v>
      </c>
      <c r="G15" s="10">
        <v>16.25</v>
      </c>
      <c r="H15" s="10">
        <v>2.45</v>
      </c>
      <c r="I15" s="14"/>
      <c r="J15" s="14"/>
      <c r="K15" s="14"/>
      <c r="L15" s="14"/>
      <c r="M15" s="14"/>
      <c r="N15" s="14"/>
      <c r="O15" s="4" t="s">
        <v>458</v>
      </c>
      <c r="P15" s="4" t="s">
        <v>456</v>
      </c>
    </row>
    <row r="16" s="2" customFormat="1" spans="1:15">
      <c r="A16" s="2" t="s">
        <v>51</v>
      </c>
      <c r="B16" s="2" t="s">
        <v>21</v>
      </c>
      <c r="D16" s="2">
        <v>503</v>
      </c>
      <c r="E16" s="2" t="s">
        <v>23</v>
      </c>
      <c r="F16" s="2" t="s">
        <v>21</v>
      </c>
      <c r="G16" s="8">
        <v>30.6</v>
      </c>
      <c r="H16" s="8">
        <v>9.4</v>
      </c>
      <c r="I16" s="12">
        <v>0</v>
      </c>
      <c r="J16" s="12">
        <v>502</v>
      </c>
      <c r="K16" s="12">
        <v>415</v>
      </c>
      <c r="L16" s="12">
        <v>87</v>
      </c>
      <c r="M16" s="12"/>
      <c r="N16" s="12"/>
      <c r="O16" s="2" t="s">
        <v>459</v>
      </c>
    </row>
    <row r="17" s="2" customFormat="1" spans="1:15">
      <c r="A17" s="2" t="s">
        <v>53</v>
      </c>
      <c r="B17" s="2" t="s">
        <v>21</v>
      </c>
      <c r="C17" s="2" t="s">
        <v>54</v>
      </c>
      <c r="D17" s="2">
        <v>17</v>
      </c>
      <c r="E17" s="2" t="s">
        <v>37</v>
      </c>
      <c r="F17" s="2" t="s">
        <v>21</v>
      </c>
      <c r="G17" s="8">
        <v>42.12</v>
      </c>
      <c r="H17" s="8">
        <v>10.22</v>
      </c>
      <c r="I17" s="12">
        <v>6</v>
      </c>
      <c r="J17" s="12">
        <v>11</v>
      </c>
      <c r="K17" s="12">
        <v>12</v>
      </c>
      <c r="L17" s="12">
        <v>5</v>
      </c>
      <c r="M17" s="12"/>
      <c r="N17" s="12"/>
      <c r="O17" s="2" t="s">
        <v>55</v>
      </c>
    </row>
    <row r="18" s="2" customFormat="1" spans="1:15">
      <c r="A18" s="2" t="s">
        <v>53</v>
      </c>
      <c r="B18" s="2" t="s">
        <v>21</v>
      </c>
      <c r="C18" s="2" t="s">
        <v>56</v>
      </c>
      <c r="D18" s="2">
        <v>50</v>
      </c>
      <c r="E18" s="2" t="s">
        <v>37</v>
      </c>
      <c r="F18" s="2" t="s">
        <v>21</v>
      </c>
      <c r="G18" s="8">
        <v>40.42</v>
      </c>
      <c r="H18" s="8">
        <v>10.23</v>
      </c>
      <c r="I18" s="12">
        <v>9</v>
      </c>
      <c r="J18" s="12">
        <v>41</v>
      </c>
      <c r="K18" s="12">
        <v>26</v>
      </c>
      <c r="L18" s="12">
        <v>24</v>
      </c>
      <c r="M18" s="12"/>
      <c r="N18" s="12"/>
      <c r="O18" s="2" t="s">
        <v>57</v>
      </c>
    </row>
    <row r="19" s="2" customFormat="1" spans="1:15">
      <c r="A19" s="2" t="s">
        <v>53</v>
      </c>
      <c r="B19" s="2" t="s">
        <v>21</v>
      </c>
      <c r="C19" s="2" t="s">
        <v>58</v>
      </c>
      <c r="D19" s="2">
        <v>22</v>
      </c>
      <c r="E19" s="2" t="s">
        <v>37</v>
      </c>
      <c r="F19" s="2" t="s">
        <v>21</v>
      </c>
      <c r="G19" s="8">
        <v>41.95</v>
      </c>
      <c r="H19" s="8">
        <v>9.11999999999999</v>
      </c>
      <c r="I19" s="12">
        <v>4</v>
      </c>
      <c r="J19" s="12">
        <v>18</v>
      </c>
      <c r="K19" s="12">
        <v>14</v>
      </c>
      <c r="L19" s="12">
        <v>8</v>
      </c>
      <c r="M19" s="12"/>
      <c r="N19" s="12"/>
      <c r="O19" s="2" t="s">
        <v>59</v>
      </c>
    </row>
    <row r="20" s="2" customFormat="1" spans="1:15">
      <c r="A20" s="2" t="s">
        <v>53</v>
      </c>
      <c r="B20" s="2" t="s">
        <v>21</v>
      </c>
      <c r="C20" s="2" t="s">
        <v>60</v>
      </c>
      <c r="D20" s="2">
        <v>81</v>
      </c>
      <c r="E20" s="2" t="s">
        <v>37</v>
      </c>
      <c r="F20" s="2" t="s">
        <v>21</v>
      </c>
      <c r="G20" s="8">
        <v>42.69</v>
      </c>
      <c r="H20" s="8">
        <v>11.06</v>
      </c>
      <c r="I20" s="12">
        <v>27</v>
      </c>
      <c r="J20" s="12">
        <v>54</v>
      </c>
      <c r="K20" s="12">
        <v>51</v>
      </c>
      <c r="L20" s="12">
        <v>30</v>
      </c>
      <c r="M20" s="12"/>
      <c r="N20" s="12"/>
      <c r="O20" s="2" t="s">
        <v>61</v>
      </c>
    </row>
    <row r="21" s="2" customFormat="1" spans="1:15">
      <c r="A21" s="2" t="s">
        <v>62</v>
      </c>
      <c r="B21" s="2" t="s">
        <v>63</v>
      </c>
      <c r="C21" s="2" t="s">
        <v>64</v>
      </c>
      <c r="D21" s="2">
        <v>70</v>
      </c>
      <c r="E21" s="2" t="s">
        <v>23</v>
      </c>
      <c r="F21" s="2" t="s">
        <v>21</v>
      </c>
      <c r="G21" s="8">
        <v>30.74</v>
      </c>
      <c r="H21" s="8">
        <v>2.96</v>
      </c>
      <c r="I21" s="12">
        <v>70</v>
      </c>
      <c r="J21" s="12">
        <v>0</v>
      </c>
      <c r="K21" s="12">
        <v>70</v>
      </c>
      <c r="L21" s="12">
        <v>0</v>
      </c>
      <c r="M21" s="12"/>
      <c r="N21" s="12"/>
      <c r="O21" s="2" t="s">
        <v>65</v>
      </c>
    </row>
    <row r="22" s="2" customFormat="1" spans="1:15">
      <c r="A22" s="2" t="s">
        <v>62</v>
      </c>
      <c r="B22" s="2" t="s">
        <v>63</v>
      </c>
      <c r="C22" s="2" t="s">
        <v>66</v>
      </c>
      <c r="D22" s="2">
        <v>62</v>
      </c>
      <c r="E22" s="2" t="s">
        <v>23</v>
      </c>
      <c r="F22" s="2" t="s">
        <v>21</v>
      </c>
      <c r="G22" s="8">
        <v>32.42</v>
      </c>
      <c r="H22" s="8">
        <v>4.34</v>
      </c>
      <c r="I22" s="12">
        <v>62</v>
      </c>
      <c r="J22" s="12">
        <v>0</v>
      </c>
      <c r="K22" s="12">
        <v>62</v>
      </c>
      <c r="L22" s="12">
        <v>0</v>
      </c>
      <c r="M22" s="12"/>
      <c r="N22" s="12"/>
      <c r="O22" s="2" t="s">
        <v>65</v>
      </c>
    </row>
    <row r="23" s="2" customFormat="1" spans="1:15">
      <c r="A23" s="2" t="s">
        <v>62</v>
      </c>
      <c r="B23" s="2" t="s">
        <v>63</v>
      </c>
      <c r="C23" s="2" t="s">
        <v>67</v>
      </c>
      <c r="D23" s="2">
        <v>58</v>
      </c>
      <c r="E23" s="2" t="s">
        <v>23</v>
      </c>
      <c r="F23" s="2" t="s">
        <v>21</v>
      </c>
      <c r="G23" s="8">
        <v>30.62</v>
      </c>
      <c r="H23" s="8">
        <v>3.07</v>
      </c>
      <c r="I23" s="12">
        <v>58</v>
      </c>
      <c r="J23" s="12">
        <v>0</v>
      </c>
      <c r="K23" s="12">
        <v>58</v>
      </c>
      <c r="L23" s="12">
        <v>0</v>
      </c>
      <c r="M23" s="12"/>
      <c r="N23" s="12"/>
      <c r="O23" s="2" t="s">
        <v>65</v>
      </c>
    </row>
    <row r="24" s="2" customFormat="1" spans="1:15">
      <c r="A24" s="2" t="s">
        <v>68</v>
      </c>
      <c r="B24" s="2" t="s">
        <v>21</v>
      </c>
      <c r="C24" s="2" t="s">
        <v>25</v>
      </c>
      <c r="D24" s="2">
        <v>160</v>
      </c>
      <c r="E24" s="2" t="s">
        <v>23</v>
      </c>
      <c r="F24" s="2" t="s">
        <v>21</v>
      </c>
      <c r="G24" s="8">
        <v>41.79</v>
      </c>
      <c r="H24" s="8">
        <v>3.87</v>
      </c>
      <c r="I24" s="12">
        <v>0.0688</v>
      </c>
      <c r="J24" s="12">
        <f>1-0.0688</f>
        <v>0.9312</v>
      </c>
      <c r="K24" s="12">
        <v>0.2126</v>
      </c>
      <c r="L24" s="12">
        <f>1-K24</f>
        <v>0.7874</v>
      </c>
      <c r="M24" s="12"/>
      <c r="N24" s="12"/>
      <c r="O24" s="2" t="s">
        <v>69</v>
      </c>
    </row>
    <row r="25" s="2" customFormat="1" spans="1:15">
      <c r="A25" s="2" t="s">
        <v>68</v>
      </c>
      <c r="B25" s="2" t="s">
        <v>21</v>
      </c>
      <c r="C25" s="2" t="s">
        <v>22</v>
      </c>
      <c r="D25" s="2">
        <v>160</v>
      </c>
      <c r="E25" s="2" t="s">
        <v>23</v>
      </c>
      <c r="F25" s="2" t="s">
        <v>21</v>
      </c>
      <c r="G25" s="8">
        <v>42.36</v>
      </c>
      <c r="H25" s="8">
        <v>3.62</v>
      </c>
      <c r="I25" s="12">
        <v>0.05</v>
      </c>
      <c r="J25" s="12">
        <f>1-0.05</f>
        <v>0.95</v>
      </c>
      <c r="K25" s="12">
        <v>0.1063</v>
      </c>
      <c r="L25" s="12">
        <f>1-K25</f>
        <v>0.8937</v>
      </c>
      <c r="M25" s="12"/>
      <c r="N25" s="12"/>
      <c r="O25" s="2" t="s">
        <v>70</v>
      </c>
    </row>
    <row r="26" s="2" customFormat="1" spans="1:15">
      <c r="A26" s="2" t="s">
        <v>71</v>
      </c>
      <c r="B26" s="2" t="s">
        <v>21</v>
      </c>
      <c r="D26" s="2">
        <v>312</v>
      </c>
      <c r="E26" s="2" t="s">
        <v>37</v>
      </c>
      <c r="F26" s="2" t="s">
        <v>21</v>
      </c>
      <c r="G26" s="8"/>
      <c r="H26" s="8"/>
      <c r="I26" s="12">
        <v>0.821</v>
      </c>
      <c r="J26" s="12">
        <f>1-0.821</f>
        <v>0.179</v>
      </c>
      <c r="K26" s="12"/>
      <c r="L26" s="12"/>
      <c r="M26" s="12"/>
      <c r="N26" s="12"/>
      <c r="O26" s="2" t="s">
        <v>72</v>
      </c>
    </row>
    <row r="27" s="2" customFormat="1" spans="1:15">
      <c r="A27" s="2" t="s">
        <v>73</v>
      </c>
      <c r="B27" s="2" t="s">
        <v>21</v>
      </c>
      <c r="D27" s="2">
        <v>594</v>
      </c>
      <c r="E27" s="2" t="s">
        <v>23</v>
      </c>
      <c r="F27" s="2" t="s">
        <v>21</v>
      </c>
      <c r="G27" s="8">
        <v>70.51</v>
      </c>
      <c r="H27" s="8">
        <v>6.35</v>
      </c>
      <c r="I27" s="12"/>
      <c r="J27" s="12"/>
      <c r="K27" s="12">
        <v>84</v>
      </c>
      <c r="L27" s="12">
        <v>510</v>
      </c>
      <c r="M27" s="12"/>
      <c r="N27" s="12"/>
      <c r="O27" s="2" t="s">
        <v>74</v>
      </c>
    </row>
    <row r="28" s="2" customFormat="1" spans="1:15">
      <c r="A28" s="2" t="s">
        <v>76</v>
      </c>
      <c r="B28" s="2" t="s">
        <v>21</v>
      </c>
      <c r="D28" s="2">
        <v>198</v>
      </c>
      <c r="E28" s="2" t="s">
        <v>23</v>
      </c>
      <c r="F28" s="2" t="s">
        <v>21</v>
      </c>
      <c r="G28" s="8"/>
      <c r="H28" s="8"/>
      <c r="I28" s="12"/>
      <c r="J28" s="12"/>
      <c r="K28" s="12">
        <v>24</v>
      </c>
      <c r="L28" s="12">
        <v>174</v>
      </c>
      <c r="M28" s="12"/>
      <c r="N28" s="12"/>
      <c r="O28" s="2" t="s">
        <v>77</v>
      </c>
    </row>
    <row r="29" s="2" customFormat="1" spans="1:15">
      <c r="A29" s="2" t="s">
        <v>80</v>
      </c>
      <c r="B29" s="2" t="s">
        <v>21</v>
      </c>
      <c r="D29" s="2">
        <v>225</v>
      </c>
      <c r="E29" s="2" t="s">
        <v>23</v>
      </c>
      <c r="F29" s="2" t="s">
        <v>21</v>
      </c>
      <c r="G29" s="8"/>
      <c r="H29" s="8"/>
      <c r="I29" s="12"/>
      <c r="J29" s="12"/>
      <c r="K29" s="12"/>
      <c r="L29" s="12"/>
      <c r="M29" s="12"/>
      <c r="N29" s="12"/>
      <c r="O29" s="2" t="s">
        <v>81</v>
      </c>
    </row>
    <row r="30" s="2" customFormat="1" spans="1:15">
      <c r="A30" s="2" t="s">
        <v>82</v>
      </c>
      <c r="B30" s="2" t="s">
        <v>21</v>
      </c>
      <c r="D30" s="2">
        <v>168</v>
      </c>
      <c r="E30" s="2" t="s">
        <v>23</v>
      </c>
      <c r="F30" s="2" t="s">
        <v>21</v>
      </c>
      <c r="G30" s="8"/>
      <c r="H30" s="8"/>
      <c r="I30" s="12">
        <v>168</v>
      </c>
      <c r="J30" s="12">
        <v>0</v>
      </c>
      <c r="K30" s="12">
        <v>168</v>
      </c>
      <c r="L30" s="12">
        <v>0</v>
      </c>
      <c r="M30" s="12"/>
      <c r="N30" s="12"/>
      <c r="O30" s="2" t="s">
        <v>83</v>
      </c>
    </row>
    <row r="31" s="4" customFormat="1" spans="1:16">
      <c r="A31" s="4" t="s">
        <v>460</v>
      </c>
      <c r="B31" s="4" t="s">
        <v>21</v>
      </c>
      <c r="D31" s="4">
        <v>245</v>
      </c>
      <c r="E31" s="4" t="s">
        <v>37</v>
      </c>
      <c r="F31" s="4" t="s">
        <v>21</v>
      </c>
      <c r="G31" s="10">
        <v>16.3999999999999</v>
      </c>
      <c r="H31" s="10">
        <v>3.11</v>
      </c>
      <c r="I31" s="14">
        <v>1</v>
      </c>
      <c r="J31" s="14">
        <v>0</v>
      </c>
      <c r="K31" s="14">
        <v>1</v>
      </c>
      <c r="L31" s="14">
        <v>0</v>
      </c>
      <c r="M31" s="14"/>
      <c r="N31" s="14"/>
      <c r="O31" s="4" t="s">
        <v>461</v>
      </c>
      <c r="P31" s="4" t="s">
        <v>456</v>
      </c>
    </row>
    <row r="32" s="2" customFormat="1" spans="1:15">
      <c r="A32" s="2" t="s">
        <v>84</v>
      </c>
      <c r="B32" s="2" t="s">
        <v>21</v>
      </c>
      <c r="D32" s="2">
        <v>1159</v>
      </c>
      <c r="E32" s="2" t="s">
        <v>23</v>
      </c>
      <c r="F32" s="2" t="s">
        <v>21</v>
      </c>
      <c r="G32" s="8"/>
      <c r="H32" s="8"/>
      <c r="I32" s="12"/>
      <c r="J32" s="12"/>
      <c r="K32" s="12"/>
      <c r="L32" s="12"/>
      <c r="M32" s="12"/>
      <c r="N32" s="12"/>
      <c r="O32" s="2" t="s">
        <v>85</v>
      </c>
    </row>
    <row r="33" s="2" customFormat="1" spans="1:15">
      <c r="A33" s="2" t="s">
        <v>86</v>
      </c>
      <c r="B33" s="2" t="s">
        <v>21</v>
      </c>
      <c r="C33" s="2" t="s">
        <v>87</v>
      </c>
      <c r="D33" s="2">
        <v>48</v>
      </c>
      <c r="E33" s="2" t="s">
        <v>37</v>
      </c>
      <c r="F33" s="2" t="s">
        <v>21</v>
      </c>
      <c r="G33" s="8">
        <v>30.71</v>
      </c>
      <c r="H33" s="8">
        <v>10.86</v>
      </c>
      <c r="I33" s="12"/>
      <c r="J33" s="12"/>
      <c r="K33" s="12"/>
      <c r="L33" s="12"/>
      <c r="M33" s="12"/>
      <c r="N33" s="12"/>
      <c r="O33" s="2" t="s">
        <v>88</v>
      </c>
    </row>
    <row r="34" s="2" customFormat="1" spans="1:15">
      <c r="A34" s="2" t="s">
        <v>86</v>
      </c>
      <c r="B34" s="2" t="s">
        <v>21</v>
      </c>
      <c r="C34" s="2" t="s">
        <v>89</v>
      </c>
      <c r="D34" s="2">
        <v>24</v>
      </c>
      <c r="E34" s="2" t="s">
        <v>37</v>
      </c>
      <c r="F34" s="2" t="s">
        <v>21</v>
      </c>
      <c r="G34" s="8">
        <v>28.96</v>
      </c>
      <c r="H34" s="8">
        <v>8.44</v>
      </c>
      <c r="I34" s="12"/>
      <c r="J34" s="12"/>
      <c r="K34" s="12"/>
      <c r="L34" s="12"/>
      <c r="M34" s="12"/>
      <c r="N34" s="12"/>
      <c r="O34" s="2" t="s">
        <v>88</v>
      </c>
    </row>
    <row r="35" s="2" customFormat="1" spans="1:15">
      <c r="A35" s="2" t="s">
        <v>90</v>
      </c>
      <c r="B35" s="2" t="s">
        <v>21</v>
      </c>
      <c r="D35" s="2">
        <v>187</v>
      </c>
      <c r="E35" s="2" t="s">
        <v>23</v>
      </c>
      <c r="F35" s="2" t="s">
        <v>21</v>
      </c>
      <c r="G35" s="8"/>
      <c r="H35" s="8"/>
      <c r="I35" s="12">
        <v>145</v>
      </c>
      <c r="J35" s="12">
        <v>42</v>
      </c>
      <c r="K35" s="12"/>
      <c r="L35" s="12"/>
      <c r="M35" s="12"/>
      <c r="N35" s="12"/>
      <c r="O35" s="2" t="s">
        <v>91</v>
      </c>
    </row>
    <row r="36" s="2" customFormat="1" spans="1:15">
      <c r="A36" s="2" t="s">
        <v>92</v>
      </c>
      <c r="B36" s="2" t="s">
        <v>21</v>
      </c>
      <c r="D36" s="2">
        <v>621</v>
      </c>
      <c r="E36" s="2" t="s">
        <v>37</v>
      </c>
      <c r="F36" s="2" t="s">
        <v>21</v>
      </c>
      <c r="G36" s="8">
        <v>31.73</v>
      </c>
      <c r="H36" s="8"/>
      <c r="I36" s="12">
        <v>133</v>
      </c>
      <c r="J36" s="12">
        <v>54</v>
      </c>
      <c r="K36" s="12"/>
      <c r="L36" s="12"/>
      <c r="M36" s="12"/>
      <c r="N36" s="12"/>
      <c r="O36" s="2" t="s">
        <v>93</v>
      </c>
    </row>
    <row r="37" s="2" customFormat="1" spans="1:15">
      <c r="A37" s="2" t="s">
        <v>94</v>
      </c>
      <c r="B37" s="2" t="s">
        <v>21</v>
      </c>
      <c r="D37" s="2">
        <v>160</v>
      </c>
      <c r="E37" s="2" t="s">
        <v>23</v>
      </c>
      <c r="F37" s="2" t="s">
        <v>21</v>
      </c>
      <c r="G37" s="8"/>
      <c r="H37" s="8"/>
      <c r="I37" s="12">
        <v>98</v>
      </c>
      <c r="J37" s="12">
        <v>55</v>
      </c>
      <c r="K37" s="12">
        <v>153</v>
      </c>
      <c r="L37" s="12">
        <v>0</v>
      </c>
      <c r="M37" s="12"/>
      <c r="N37" s="12"/>
      <c r="O37" s="2" t="s">
        <v>95</v>
      </c>
    </row>
    <row r="38" s="2" customFormat="1" spans="1:15">
      <c r="A38" s="2" t="s">
        <v>96</v>
      </c>
      <c r="B38" s="2" t="s">
        <v>21</v>
      </c>
      <c r="D38" s="2">
        <v>330</v>
      </c>
      <c r="E38" s="2" t="s">
        <v>23</v>
      </c>
      <c r="F38" s="2" t="s">
        <v>21</v>
      </c>
      <c r="G38" s="8"/>
      <c r="H38" s="8"/>
      <c r="I38" s="12"/>
      <c r="J38" s="12"/>
      <c r="K38" s="12"/>
      <c r="L38" s="12"/>
      <c r="M38" s="12"/>
      <c r="N38" s="12"/>
      <c r="O38" s="2" t="s">
        <v>97</v>
      </c>
    </row>
    <row r="39" s="2" customFormat="1" spans="1:15">
      <c r="A39" s="2" t="s">
        <v>98</v>
      </c>
      <c r="B39" s="2" t="s">
        <v>21</v>
      </c>
      <c r="D39" s="2">
        <v>241</v>
      </c>
      <c r="E39" s="2" t="s">
        <v>23</v>
      </c>
      <c r="F39" s="2" t="s">
        <v>21</v>
      </c>
      <c r="G39" s="8">
        <v>29.86</v>
      </c>
      <c r="H39" s="8">
        <v>5.97</v>
      </c>
      <c r="I39" s="12">
        <v>0.97</v>
      </c>
      <c r="J39" s="12">
        <v>0.029</v>
      </c>
      <c r="K39" s="12"/>
      <c r="L39" s="12"/>
      <c r="M39" s="12"/>
      <c r="N39" s="12"/>
      <c r="O39" s="2" t="s">
        <v>99</v>
      </c>
    </row>
    <row r="40" s="2" customFormat="1" spans="1:15">
      <c r="A40" s="2" t="s">
        <v>100</v>
      </c>
      <c r="B40" s="2" t="s">
        <v>21</v>
      </c>
      <c r="C40" s="2" t="s">
        <v>101</v>
      </c>
      <c r="D40" s="2">
        <v>35</v>
      </c>
      <c r="E40" s="2" t="s">
        <v>37</v>
      </c>
      <c r="F40" s="2" t="s">
        <v>21</v>
      </c>
      <c r="G40" s="8">
        <v>24.54</v>
      </c>
      <c r="H40" s="8">
        <v>6.92</v>
      </c>
      <c r="I40" s="12"/>
      <c r="J40" s="12"/>
      <c r="K40" s="12"/>
      <c r="L40" s="12"/>
      <c r="M40" s="12">
        <v>12.16</v>
      </c>
      <c r="N40" s="12">
        <v>2.29</v>
      </c>
      <c r="O40" s="2" t="s">
        <v>102</v>
      </c>
    </row>
    <row r="41" s="2" customFormat="1" spans="1:15">
      <c r="A41" s="2" t="s">
        <v>100</v>
      </c>
      <c r="B41" s="2" t="s">
        <v>21</v>
      </c>
      <c r="C41" s="2" t="s">
        <v>103</v>
      </c>
      <c r="D41" s="2">
        <v>17</v>
      </c>
      <c r="E41" s="2" t="s">
        <v>37</v>
      </c>
      <c r="F41" s="2" t="s">
        <v>21</v>
      </c>
      <c r="G41" s="8">
        <v>22.59</v>
      </c>
      <c r="H41" s="8">
        <v>4.42</v>
      </c>
      <c r="I41" s="12"/>
      <c r="J41" s="12"/>
      <c r="K41" s="12"/>
      <c r="L41" s="12"/>
      <c r="M41" s="12">
        <v>11.74</v>
      </c>
      <c r="N41" s="12">
        <v>2.17</v>
      </c>
      <c r="O41" s="2" t="s">
        <v>104</v>
      </c>
    </row>
    <row r="42" s="2" customFormat="1" spans="1:15">
      <c r="A42" s="2" t="s">
        <v>100</v>
      </c>
      <c r="B42" s="2" t="s">
        <v>21</v>
      </c>
      <c r="C42" s="2" t="s">
        <v>105</v>
      </c>
      <c r="D42" s="2">
        <v>38</v>
      </c>
      <c r="E42" s="2" t="s">
        <v>37</v>
      </c>
      <c r="F42" s="2" t="s">
        <v>21</v>
      </c>
      <c r="G42" s="8">
        <v>24.34</v>
      </c>
      <c r="H42" s="8">
        <v>6.37</v>
      </c>
      <c r="I42" s="12"/>
      <c r="J42" s="12"/>
      <c r="K42" s="12"/>
      <c r="L42" s="12"/>
      <c r="M42" s="12">
        <v>13.2</v>
      </c>
      <c r="N42" s="12">
        <v>2.47</v>
      </c>
      <c r="O42" s="2" t="s">
        <v>106</v>
      </c>
    </row>
    <row r="43" s="2" customFormat="1" spans="1:15">
      <c r="A43" s="2" t="s">
        <v>107</v>
      </c>
      <c r="B43" s="2" t="s">
        <v>21</v>
      </c>
      <c r="C43" s="2" t="s">
        <v>108</v>
      </c>
      <c r="D43" s="2">
        <v>69</v>
      </c>
      <c r="E43" s="2" t="s">
        <v>23</v>
      </c>
      <c r="F43" s="2" t="s">
        <v>21</v>
      </c>
      <c r="G43" s="8">
        <v>34.51</v>
      </c>
      <c r="H43" s="8">
        <v>6.71</v>
      </c>
      <c r="I43" s="12"/>
      <c r="J43" s="12"/>
      <c r="K43" s="12"/>
      <c r="L43" s="12"/>
      <c r="M43" s="12">
        <v>10.25</v>
      </c>
      <c r="N43" s="12">
        <v>3.07</v>
      </c>
      <c r="O43" s="2" t="s">
        <v>109</v>
      </c>
    </row>
    <row r="44" s="2" customFormat="1" spans="1:15">
      <c r="A44" s="2" t="s">
        <v>107</v>
      </c>
      <c r="B44" s="2" t="s">
        <v>21</v>
      </c>
      <c r="C44" s="2" t="s">
        <v>105</v>
      </c>
      <c r="D44" s="2">
        <v>69</v>
      </c>
      <c r="E44" s="2" t="s">
        <v>37</v>
      </c>
      <c r="F44" s="2" t="s">
        <v>21</v>
      </c>
      <c r="G44" s="8">
        <v>34.2999999999999</v>
      </c>
      <c r="H44" s="8">
        <v>11.52</v>
      </c>
      <c r="I44" s="12"/>
      <c r="J44" s="12"/>
      <c r="K44" s="12"/>
      <c r="L44" s="12"/>
      <c r="M44" s="12">
        <v>11.94</v>
      </c>
      <c r="N44" s="12">
        <v>4.13</v>
      </c>
      <c r="O44" s="2" t="s">
        <v>110</v>
      </c>
    </row>
    <row r="45" s="2" customFormat="1" spans="1:15">
      <c r="A45" s="2" t="s">
        <v>111</v>
      </c>
      <c r="B45" s="2" t="s">
        <v>21</v>
      </c>
      <c r="C45" s="2" t="s">
        <v>112</v>
      </c>
      <c r="D45" s="2">
        <v>31</v>
      </c>
      <c r="E45" s="2" t="s">
        <v>23</v>
      </c>
      <c r="F45" s="2" t="s">
        <v>21</v>
      </c>
      <c r="G45" s="8">
        <v>40.65</v>
      </c>
      <c r="H45" s="8">
        <v>5.86</v>
      </c>
      <c r="I45" s="12">
        <v>12</v>
      </c>
      <c r="J45" s="12">
        <v>19</v>
      </c>
      <c r="K45" s="12">
        <v>19</v>
      </c>
      <c r="L45" s="12">
        <v>12</v>
      </c>
      <c r="M45" s="12"/>
      <c r="N45" s="12"/>
      <c r="O45" s="2" t="s">
        <v>113</v>
      </c>
    </row>
    <row r="46" s="2" customFormat="1" spans="1:15">
      <c r="A46" s="2" t="s">
        <v>111</v>
      </c>
      <c r="B46" s="2" t="s">
        <v>21</v>
      </c>
      <c r="C46" s="2" t="s">
        <v>89</v>
      </c>
      <c r="D46" s="2">
        <v>30</v>
      </c>
      <c r="E46" s="2" t="s">
        <v>23</v>
      </c>
      <c r="F46" s="2" t="s">
        <v>21</v>
      </c>
      <c r="G46" s="8">
        <v>38.47</v>
      </c>
      <c r="H46" s="8">
        <v>7.81099999999999</v>
      </c>
      <c r="I46" s="12">
        <v>6</v>
      </c>
      <c r="J46" s="12">
        <v>24</v>
      </c>
      <c r="K46" s="12">
        <v>16</v>
      </c>
      <c r="L46" s="12">
        <v>14</v>
      </c>
      <c r="M46" s="12"/>
      <c r="N46" s="12"/>
      <c r="O46" s="2" t="s">
        <v>114</v>
      </c>
    </row>
    <row r="47" s="2" customFormat="1" spans="1:15">
      <c r="A47" s="2" t="s">
        <v>115</v>
      </c>
      <c r="B47" s="2" t="s">
        <v>21</v>
      </c>
      <c r="C47" s="2" t="s">
        <v>116</v>
      </c>
      <c r="D47" s="2">
        <v>258</v>
      </c>
      <c r="E47" s="2" t="s">
        <v>23</v>
      </c>
      <c r="F47" s="2" t="s">
        <v>21</v>
      </c>
      <c r="G47" s="8">
        <v>69.14</v>
      </c>
      <c r="H47" s="8">
        <v>7.4</v>
      </c>
      <c r="I47" s="12">
        <v>0.237</v>
      </c>
      <c r="J47" s="12">
        <f>1-I47</f>
        <v>0.763</v>
      </c>
      <c r="K47" s="12"/>
      <c r="L47" s="12"/>
      <c r="M47" s="12"/>
      <c r="N47" s="12"/>
      <c r="O47" s="2" t="s">
        <v>117</v>
      </c>
    </row>
    <row r="48" s="2" customFormat="1" spans="1:15">
      <c r="A48" s="2" t="s">
        <v>115</v>
      </c>
      <c r="B48" s="2" t="s">
        <v>21</v>
      </c>
      <c r="C48" s="2" t="s">
        <v>118</v>
      </c>
      <c r="D48" s="2">
        <v>258</v>
      </c>
      <c r="E48" s="2" t="s">
        <v>23</v>
      </c>
      <c r="F48" s="2" t="s">
        <v>21</v>
      </c>
      <c r="G48" s="8">
        <v>67.16</v>
      </c>
      <c r="H48" s="8">
        <v>6.44</v>
      </c>
      <c r="I48" s="12">
        <v>0.167</v>
      </c>
      <c r="J48" s="12">
        <f>1-I48</f>
        <v>0.833</v>
      </c>
      <c r="K48" s="12"/>
      <c r="L48" s="12"/>
      <c r="M48" s="12"/>
      <c r="N48" s="12"/>
      <c r="O48" s="2" t="s">
        <v>117</v>
      </c>
    </row>
    <row r="49" s="2" customFormat="1" spans="1:15">
      <c r="A49" s="2" t="s">
        <v>119</v>
      </c>
      <c r="B49" s="2" t="s">
        <v>21</v>
      </c>
      <c r="C49" s="2" t="s">
        <v>120</v>
      </c>
      <c r="D49" s="2">
        <v>536</v>
      </c>
      <c r="E49" s="2" t="s">
        <v>23</v>
      </c>
      <c r="F49" s="2" t="s">
        <v>21</v>
      </c>
      <c r="G49" s="8">
        <v>29.97</v>
      </c>
      <c r="H49" s="8">
        <v>4.49</v>
      </c>
      <c r="I49" s="12">
        <v>0.92</v>
      </c>
      <c r="J49" s="12">
        <v>0.08</v>
      </c>
      <c r="K49" s="12"/>
      <c r="L49" s="12"/>
      <c r="M49" s="12"/>
      <c r="N49" s="12"/>
      <c r="O49" s="2" t="s">
        <v>121</v>
      </c>
    </row>
    <row r="50" s="2" customFormat="1" spans="1:15">
      <c r="A50" s="2" t="s">
        <v>119</v>
      </c>
      <c r="B50" s="2" t="s">
        <v>21</v>
      </c>
      <c r="C50" s="2" t="s">
        <v>122</v>
      </c>
      <c r="D50" s="2">
        <v>111</v>
      </c>
      <c r="E50" s="2" t="s">
        <v>23</v>
      </c>
      <c r="F50" s="2" t="s">
        <v>21</v>
      </c>
      <c r="G50" s="8">
        <v>34.0499999999999</v>
      </c>
      <c r="H50" s="8">
        <v>4.68</v>
      </c>
      <c r="I50" s="12">
        <f>1-J50</f>
        <v>0.982</v>
      </c>
      <c r="J50" s="12">
        <v>0.018</v>
      </c>
      <c r="K50" s="12"/>
      <c r="L50" s="12"/>
      <c r="M50" s="12"/>
      <c r="N50" s="12"/>
      <c r="O50" s="2" t="s">
        <v>123</v>
      </c>
    </row>
    <row r="51" s="2" customFormat="1" spans="1:15">
      <c r="A51" s="2" t="s">
        <v>124</v>
      </c>
      <c r="B51" s="2" t="s">
        <v>125</v>
      </c>
      <c r="D51" s="2">
        <v>56</v>
      </c>
      <c r="E51" s="2" t="s">
        <v>37</v>
      </c>
      <c r="F51" s="2" t="s">
        <v>21</v>
      </c>
      <c r="G51" s="8">
        <v>31.75</v>
      </c>
      <c r="H51" s="8">
        <v>8.65</v>
      </c>
      <c r="I51" s="12"/>
      <c r="J51" s="12"/>
      <c r="K51" s="12">
        <v>1</v>
      </c>
      <c r="L51" s="12">
        <v>0</v>
      </c>
      <c r="M51" s="12"/>
      <c r="N51" s="12"/>
      <c r="O51" s="2" t="s">
        <v>126</v>
      </c>
    </row>
    <row r="52" s="2" customFormat="1" spans="1:15">
      <c r="A52" s="2" t="s">
        <v>124</v>
      </c>
      <c r="B52" s="2" t="s">
        <v>21</v>
      </c>
      <c r="D52" s="2">
        <v>633</v>
      </c>
      <c r="E52" s="2" t="s">
        <v>37</v>
      </c>
      <c r="F52" s="2" t="s">
        <v>21</v>
      </c>
      <c r="G52" s="8">
        <v>29.98</v>
      </c>
      <c r="H52" s="8">
        <v>7.75</v>
      </c>
      <c r="I52" s="12"/>
      <c r="J52" s="12"/>
      <c r="K52" s="12">
        <v>0.94</v>
      </c>
      <c r="L52" s="12">
        <v>0.06</v>
      </c>
      <c r="M52" s="12"/>
      <c r="N52" s="12"/>
      <c r="O52" s="2" t="s">
        <v>127</v>
      </c>
    </row>
    <row r="53" s="2" customFormat="1" spans="1:15">
      <c r="A53" s="2" t="s">
        <v>124</v>
      </c>
      <c r="B53" s="2" t="s">
        <v>128</v>
      </c>
      <c r="C53" s="2" t="s">
        <v>129</v>
      </c>
      <c r="D53" s="2">
        <v>396</v>
      </c>
      <c r="E53" s="2" t="s">
        <v>37</v>
      </c>
      <c r="F53" s="2" t="s">
        <v>21</v>
      </c>
      <c r="G53" s="8">
        <v>30.06</v>
      </c>
      <c r="H53" s="8">
        <v>7.3</v>
      </c>
      <c r="I53" s="12"/>
      <c r="J53" s="12"/>
      <c r="K53" s="12">
        <v>0.998</v>
      </c>
      <c r="L53" s="12">
        <v>0.003</v>
      </c>
      <c r="M53" s="12"/>
      <c r="N53" s="12"/>
      <c r="O53" s="2" t="s">
        <v>130</v>
      </c>
    </row>
    <row r="54" s="2" customFormat="1" ht="15" customHeight="1" spans="1:15">
      <c r="A54" s="2" t="s">
        <v>124</v>
      </c>
      <c r="B54" s="2" t="s">
        <v>128</v>
      </c>
      <c r="C54" s="2" t="s">
        <v>132</v>
      </c>
      <c r="D54" s="2">
        <v>206</v>
      </c>
      <c r="E54" s="2" t="s">
        <v>37</v>
      </c>
      <c r="F54" s="2" t="s">
        <v>21</v>
      </c>
      <c r="G54" s="8">
        <v>19.23</v>
      </c>
      <c r="H54" s="8">
        <v>1.94</v>
      </c>
      <c r="I54" s="12"/>
      <c r="J54" s="12"/>
      <c r="K54" s="12"/>
      <c r="L54" s="12"/>
      <c r="M54" s="12"/>
      <c r="N54" s="12"/>
      <c r="O54" s="2" t="s">
        <v>462</v>
      </c>
    </row>
    <row r="55" s="2" customFormat="1" spans="1:15">
      <c r="A55" s="2" t="s">
        <v>124</v>
      </c>
      <c r="B55" s="2" t="s">
        <v>63</v>
      </c>
      <c r="C55" s="2" t="s">
        <v>129</v>
      </c>
      <c r="D55" s="2">
        <v>221</v>
      </c>
      <c r="E55" s="2" t="s">
        <v>37</v>
      </c>
      <c r="F55" s="2" t="s">
        <v>21</v>
      </c>
      <c r="G55" s="8">
        <v>30.89</v>
      </c>
      <c r="H55" s="8">
        <v>7.77</v>
      </c>
      <c r="I55" s="12"/>
      <c r="J55" s="12"/>
      <c r="K55" s="12">
        <v>0.995</v>
      </c>
      <c r="L55" s="12">
        <v>0.005</v>
      </c>
      <c r="M55" s="12"/>
      <c r="N55" s="12"/>
      <c r="O55" s="2" t="s">
        <v>131</v>
      </c>
    </row>
    <row r="56" s="2" customFormat="1" spans="1:15">
      <c r="A56" s="2" t="s">
        <v>124</v>
      </c>
      <c r="B56" s="2" t="s">
        <v>63</v>
      </c>
      <c r="C56" s="2" t="s">
        <v>132</v>
      </c>
      <c r="D56" s="2">
        <v>213</v>
      </c>
      <c r="E56" s="2" t="s">
        <v>37</v>
      </c>
      <c r="F56" s="2" t="s">
        <v>21</v>
      </c>
      <c r="G56" s="8">
        <v>41.29</v>
      </c>
      <c r="H56" s="8">
        <v>5.49</v>
      </c>
      <c r="I56" s="12"/>
      <c r="J56" s="12"/>
      <c r="K56" s="12">
        <v>0.967</v>
      </c>
      <c r="L56" s="12">
        <v>0.033</v>
      </c>
      <c r="M56" s="12"/>
      <c r="N56" s="12"/>
      <c r="O56" s="2" t="s">
        <v>133</v>
      </c>
    </row>
    <row r="57" s="2" customFormat="1" spans="1:15">
      <c r="A57" s="2" t="s">
        <v>134</v>
      </c>
      <c r="B57" s="2" t="s">
        <v>21</v>
      </c>
      <c r="D57" s="2">
        <v>810</v>
      </c>
      <c r="E57" s="2" t="s">
        <v>37</v>
      </c>
      <c r="F57" s="2" t="s">
        <v>21</v>
      </c>
      <c r="G57" s="8"/>
      <c r="H57" s="8"/>
      <c r="I57" s="12">
        <v>671</v>
      </c>
      <c r="J57" s="12">
        <v>139</v>
      </c>
      <c r="K57" s="12"/>
      <c r="L57" s="12"/>
      <c r="M57" s="12"/>
      <c r="N57" s="12"/>
      <c r="O57" s="2" t="s">
        <v>135</v>
      </c>
    </row>
    <row r="58" s="2" customFormat="1" spans="1:15">
      <c r="A58" s="2" t="s">
        <v>136</v>
      </c>
      <c r="B58" s="2" t="s">
        <v>21</v>
      </c>
      <c r="C58" s="2" t="s">
        <v>25</v>
      </c>
      <c r="D58" s="2">
        <v>242</v>
      </c>
      <c r="E58" s="2" t="s">
        <v>23</v>
      </c>
      <c r="F58" s="2" t="s">
        <v>21</v>
      </c>
      <c r="G58" s="8">
        <v>40.83</v>
      </c>
      <c r="H58" s="8">
        <v>4.08</v>
      </c>
      <c r="I58" s="12"/>
      <c r="J58" s="12"/>
      <c r="K58" s="12">
        <v>0.42</v>
      </c>
      <c r="L58" s="12">
        <v>0.52</v>
      </c>
      <c r="M58" s="12"/>
      <c r="N58" s="12"/>
      <c r="O58" s="2" t="s">
        <v>137</v>
      </c>
    </row>
    <row r="59" s="2" customFormat="1" spans="1:15">
      <c r="A59" s="2" t="s">
        <v>136</v>
      </c>
      <c r="B59" s="2" t="s">
        <v>21</v>
      </c>
      <c r="C59" s="2" t="s">
        <v>22</v>
      </c>
      <c r="D59" s="2">
        <v>334</v>
      </c>
      <c r="E59" s="2" t="s">
        <v>23</v>
      </c>
      <c r="F59" s="2" t="s">
        <v>21</v>
      </c>
      <c r="G59" s="8">
        <v>39.8699999999999</v>
      </c>
      <c r="H59" s="8">
        <v>4.28</v>
      </c>
      <c r="I59" s="12"/>
      <c r="J59" s="12"/>
      <c r="K59" s="12">
        <v>0.46</v>
      </c>
      <c r="L59" s="12">
        <v>0.49</v>
      </c>
      <c r="M59" s="12"/>
      <c r="N59" s="12"/>
      <c r="O59" s="2" t="s">
        <v>138</v>
      </c>
    </row>
    <row r="60" s="2" customFormat="1" spans="1:15">
      <c r="A60" s="2" t="s">
        <v>139</v>
      </c>
      <c r="B60" s="2" t="s">
        <v>21</v>
      </c>
      <c r="D60" s="2">
        <v>340</v>
      </c>
      <c r="E60" s="2" t="s">
        <v>23</v>
      </c>
      <c r="F60" s="2" t="s">
        <v>21</v>
      </c>
      <c r="G60" s="8">
        <v>27.76</v>
      </c>
      <c r="H60" s="8">
        <v>4.63</v>
      </c>
      <c r="I60" s="12"/>
      <c r="J60" s="12"/>
      <c r="K60" s="12"/>
      <c r="L60" s="12"/>
      <c r="M60" s="12"/>
      <c r="N60" s="12"/>
      <c r="O60" s="2" t="s">
        <v>140</v>
      </c>
    </row>
    <row r="61" s="4" customFormat="1" spans="1:16">
      <c r="A61" s="4" t="s">
        <v>463</v>
      </c>
      <c r="B61" s="4" t="s">
        <v>21</v>
      </c>
      <c r="D61" s="4">
        <v>245</v>
      </c>
      <c r="E61" s="4" t="s">
        <v>37</v>
      </c>
      <c r="F61" s="4" t="s">
        <v>21</v>
      </c>
      <c r="G61" s="10">
        <v>16.3999999999999</v>
      </c>
      <c r="H61" s="10">
        <v>3.11</v>
      </c>
      <c r="I61" s="14">
        <v>1</v>
      </c>
      <c r="J61" s="14">
        <v>0</v>
      </c>
      <c r="K61" s="14">
        <v>1</v>
      </c>
      <c r="L61" s="14">
        <v>0</v>
      </c>
      <c r="M61" s="14"/>
      <c r="N61" s="14"/>
      <c r="O61" s="4" t="s">
        <v>464</v>
      </c>
      <c r="P61" s="4" t="s">
        <v>456</v>
      </c>
    </row>
    <row r="62" s="2" customFormat="1" spans="1:15">
      <c r="A62" s="2" t="s">
        <v>141</v>
      </c>
      <c r="B62" s="2" t="s">
        <v>21</v>
      </c>
      <c r="C62" s="2" t="s">
        <v>25</v>
      </c>
      <c r="D62" s="2">
        <v>151</v>
      </c>
      <c r="E62" s="2" t="s">
        <v>23</v>
      </c>
      <c r="F62" s="2" t="s">
        <v>21</v>
      </c>
      <c r="G62" s="8"/>
      <c r="H62" s="8"/>
      <c r="I62" s="12">
        <v>0.715</v>
      </c>
      <c r="J62" s="12">
        <v>0.285</v>
      </c>
      <c r="K62" s="12">
        <v>0.868</v>
      </c>
      <c r="L62" s="12">
        <v>0.132</v>
      </c>
      <c r="M62" s="12"/>
      <c r="N62" s="12"/>
      <c r="O62" s="2" t="s">
        <v>142</v>
      </c>
    </row>
    <row r="63" s="2" customFormat="1" spans="1:15">
      <c r="A63" s="2" t="s">
        <v>141</v>
      </c>
      <c r="B63" s="2" t="s">
        <v>21</v>
      </c>
      <c r="C63" s="2" t="s">
        <v>22</v>
      </c>
      <c r="D63" s="2">
        <v>1249</v>
      </c>
      <c r="E63" s="2" t="s">
        <v>23</v>
      </c>
      <c r="F63" s="2" t="s">
        <v>21</v>
      </c>
      <c r="G63" s="8"/>
      <c r="H63" s="8"/>
      <c r="I63" s="12">
        <v>0.645</v>
      </c>
      <c r="J63" s="12">
        <v>0.355</v>
      </c>
      <c r="K63" s="12">
        <v>0.866</v>
      </c>
      <c r="L63" s="12">
        <v>0.134</v>
      </c>
      <c r="M63" s="12"/>
      <c r="N63" s="12"/>
      <c r="O63" s="2" t="s">
        <v>142</v>
      </c>
    </row>
    <row r="64" s="4" customFormat="1" spans="1:16">
      <c r="A64" s="4" t="s">
        <v>465</v>
      </c>
      <c r="B64" s="4" t="s">
        <v>21</v>
      </c>
      <c r="C64" s="4" t="s">
        <v>129</v>
      </c>
      <c r="D64" s="4">
        <v>404</v>
      </c>
      <c r="E64" s="4" t="s">
        <v>37</v>
      </c>
      <c r="F64" s="4" t="s">
        <v>21</v>
      </c>
      <c r="G64" s="10">
        <v>21.12</v>
      </c>
      <c r="H64" s="10">
        <v>1.45</v>
      </c>
      <c r="I64" s="14">
        <v>1</v>
      </c>
      <c r="J64" s="14">
        <v>0</v>
      </c>
      <c r="K64" s="14">
        <v>1</v>
      </c>
      <c r="L64" s="14">
        <v>0</v>
      </c>
      <c r="M64" s="14"/>
      <c r="N64" s="14"/>
      <c r="O64" s="4" t="s">
        <v>466</v>
      </c>
      <c r="P64" s="4" t="s">
        <v>456</v>
      </c>
    </row>
    <row r="65" s="2" customFormat="1" spans="1:15">
      <c r="A65" s="2" t="s">
        <v>143</v>
      </c>
      <c r="B65" s="2" t="s">
        <v>21</v>
      </c>
      <c r="D65" s="2">
        <v>102</v>
      </c>
      <c r="E65" s="2" t="s">
        <v>23</v>
      </c>
      <c r="F65" s="2" t="s">
        <v>21</v>
      </c>
      <c r="G65" s="8"/>
      <c r="H65" s="8"/>
      <c r="I65" s="12"/>
      <c r="J65" s="12"/>
      <c r="K65" s="12"/>
      <c r="L65" s="12"/>
      <c r="M65" s="12"/>
      <c r="N65" s="12"/>
      <c r="O65" s="2" t="s">
        <v>144</v>
      </c>
    </row>
    <row r="66" s="2" customFormat="1" spans="1:15">
      <c r="A66" s="2" t="s">
        <v>145</v>
      </c>
      <c r="B66" s="2" t="s">
        <v>21</v>
      </c>
      <c r="C66" s="2" t="s">
        <v>146</v>
      </c>
      <c r="D66" s="2">
        <v>100</v>
      </c>
      <c r="E66" s="2" t="s">
        <v>37</v>
      </c>
      <c r="F66" s="2" t="s">
        <v>21</v>
      </c>
      <c r="G66" s="8"/>
      <c r="H66" s="8"/>
      <c r="I66" s="12">
        <v>95</v>
      </c>
      <c r="J66" s="12">
        <v>5</v>
      </c>
      <c r="K66" s="12">
        <v>100</v>
      </c>
      <c r="L66" s="12">
        <v>0</v>
      </c>
      <c r="M66" s="12"/>
      <c r="N66" s="12"/>
      <c r="O66" s="2" t="s">
        <v>147</v>
      </c>
    </row>
    <row r="67" s="2" customFormat="1" spans="1:15">
      <c r="A67" s="2" t="s">
        <v>145</v>
      </c>
      <c r="B67" s="2" t="s">
        <v>21</v>
      </c>
      <c r="C67" s="2" t="s">
        <v>148</v>
      </c>
      <c r="D67" s="2">
        <v>100</v>
      </c>
      <c r="E67" s="2" t="s">
        <v>37</v>
      </c>
      <c r="F67" s="2" t="s">
        <v>21</v>
      </c>
      <c r="G67" s="8"/>
      <c r="H67" s="8"/>
      <c r="I67" s="12">
        <v>94</v>
      </c>
      <c r="J67" s="12">
        <v>4</v>
      </c>
      <c r="K67" s="12">
        <v>98</v>
      </c>
      <c r="L67" s="12">
        <v>0</v>
      </c>
      <c r="M67" s="12"/>
      <c r="N67" s="12"/>
      <c r="O67" s="2" t="s">
        <v>149</v>
      </c>
    </row>
    <row r="68" s="2" customFormat="1" spans="1:15">
      <c r="A68" s="2" t="s">
        <v>150</v>
      </c>
      <c r="B68" s="2" t="s">
        <v>21</v>
      </c>
      <c r="C68" s="2" t="s">
        <v>151</v>
      </c>
      <c r="D68" s="2">
        <v>27</v>
      </c>
      <c r="E68" s="2" t="s">
        <v>37</v>
      </c>
      <c r="F68" s="2" t="s">
        <v>21</v>
      </c>
      <c r="G68" s="2">
        <v>38.67</v>
      </c>
      <c r="H68" s="8">
        <v>8.67</v>
      </c>
      <c r="I68" s="12">
        <v>10</v>
      </c>
      <c r="J68" s="12">
        <v>17</v>
      </c>
      <c r="K68" s="12">
        <v>23</v>
      </c>
      <c r="L68" s="12">
        <v>4</v>
      </c>
      <c r="M68" s="12"/>
      <c r="N68" s="12"/>
      <c r="O68" s="2" t="s">
        <v>152</v>
      </c>
    </row>
    <row r="69" s="2" customFormat="1" spans="1:15">
      <c r="A69" s="2" t="s">
        <v>150</v>
      </c>
      <c r="B69" s="2" t="s">
        <v>21</v>
      </c>
      <c r="C69" s="2" t="s">
        <v>153</v>
      </c>
      <c r="D69" s="2">
        <v>27</v>
      </c>
      <c r="E69" s="2" t="s">
        <v>37</v>
      </c>
      <c r="F69" s="2" t="s">
        <v>21</v>
      </c>
      <c r="G69" s="2">
        <v>44.15</v>
      </c>
      <c r="H69" s="2">
        <v>10.81</v>
      </c>
      <c r="I69" s="12">
        <v>6</v>
      </c>
      <c r="J69" s="12">
        <v>21</v>
      </c>
      <c r="K69" s="12">
        <v>10</v>
      </c>
      <c r="L69" s="12">
        <v>17</v>
      </c>
      <c r="M69" s="12"/>
      <c r="N69" s="12"/>
      <c r="O69" s="2" t="s">
        <v>154</v>
      </c>
    </row>
    <row r="70" s="2" customFormat="1" spans="1:15">
      <c r="A70" s="2" t="s">
        <v>155</v>
      </c>
      <c r="B70" s="2" t="s">
        <v>21</v>
      </c>
      <c r="C70" s="2" t="s">
        <v>156</v>
      </c>
      <c r="D70" s="2">
        <v>18</v>
      </c>
      <c r="E70" s="2" t="s">
        <v>37</v>
      </c>
      <c r="F70" s="2" t="s">
        <v>21</v>
      </c>
      <c r="G70" s="2">
        <v>35.28</v>
      </c>
      <c r="H70" s="2">
        <v>8.33</v>
      </c>
      <c r="I70" s="12"/>
      <c r="J70" s="12"/>
      <c r="K70" s="12">
        <v>0.889</v>
      </c>
      <c r="L70" s="12">
        <f>1-K70</f>
        <v>0.111</v>
      </c>
      <c r="M70" s="12"/>
      <c r="N70" s="12"/>
      <c r="O70" s="2" t="s">
        <v>157</v>
      </c>
    </row>
    <row r="71" s="2" customFormat="1" spans="1:15">
      <c r="A71" s="2" t="s">
        <v>155</v>
      </c>
      <c r="B71" s="2" t="s">
        <v>21</v>
      </c>
      <c r="C71" s="2" t="s">
        <v>66</v>
      </c>
      <c r="D71" s="2">
        <v>18</v>
      </c>
      <c r="E71" s="2" t="s">
        <v>37</v>
      </c>
      <c r="F71" s="2" t="s">
        <v>21</v>
      </c>
      <c r="G71" s="2">
        <v>36.71</v>
      </c>
      <c r="H71" s="2">
        <v>8.17</v>
      </c>
      <c r="I71" s="12"/>
      <c r="J71" s="12"/>
      <c r="K71" s="12">
        <v>0.944</v>
      </c>
      <c r="L71" s="12">
        <f>1-K71</f>
        <v>0.056</v>
      </c>
      <c r="M71" s="12"/>
      <c r="N71" s="12"/>
      <c r="O71" s="2" t="s">
        <v>158</v>
      </c>
    </row>
    <row r="72" s="2" customFormat="1" spans="1:15">
      <c r="A72" s="2" t="s">
        <v>159</v>
      </c>
      <c r="B72" s="2" t="s">
        <v>21</v>
      </c>
      <c r="D72" s="2">
        <v>157</v>
      </c>
      <c r="E72" s="2" t="s">
        <v>37</v>
      </c>
      <c r="F72" s="2" t="s">
        <v>21</v>
      </c>
      <c r="G72" s="2">
        <v>33.05</v>
      </c>
      <c r="H72" s="2">
        <v>7.32</v>
      </c>
      <c r="I72" s="12"/>
      <c r="J72" s="12"/>
      <c r="K72" s="12"/>
      <c r="L72" s="12"/>
      <c r="M72" s="12"/>
      <c r="N72" s="12"/>
      <c r="O72" s="2" t="s">
        <v>160</v>
      </c>
    </row>
    <row r="73" s="2" customFormat="1" spans="1:15">
      <c r="A73" s="2" t="s">
        <v>161</v>
      </c>
      <c r="B73" s="2" t="s">
        <v>21</v>
      </c>
      <c r="C73" s="2" t="s">
        <v>162</v>
      </c>
      <c r="D73" s="2">
        <v>43</v>
      </c>
      <c r="E73" s="2" t="s">
        <v>37</v>
      </c>
      <c r="F73" s="2" t="s">
        <v>21</v>
      </c>
      <c r="G73" s="2">
        <v>43.86</v>
      </c>
      <c r="H73" s="2">
        <v>8.4</v>
      </c>
      <c r="I73" s="12">
        <v>15</v>
      </c>
      <c r="J73" s="12">
        <v>28</v>
      </c>
      <c r="K73" s="12">
        <v>29</v>
      </c>
      <c r="L73" s="12">
        <v>14</v>
      </c>
      <c r="M73" s="12"/>
      <c r="N73" s="12"/>
      <c r="O73" s="2" t="s">
        <v>163</v>
      </c>
    </row>
    <row r="74" s="2" customFormat="1" spans="1:15">
      <c r="A74" s="2" t="s">
        <v>161</v>
      </c>
      <c r="B74" s="2" t="s">
        <v>21</v>
      </c>
      <c r="C74" s="2" t="s">
        <v>89</v>
      </c>
      <c r="D74" s="2">
        <v>71</v>
      </c>
      <c r="E74" s="2" t="s">
        <v>37</v>
      </c>
      <c r="F74" s="2" t="s">
        <v>21</v>
      </c>
      <c r="G74" s="2">
        <v>44.34</v>
      </c>
      <c r="H74" s="2">
        <v>9.49</v>
      </c>
      <c r="I74" s="12">
        <v>22</v>
      </c>
      <c r="J74" s="12">
        <v>49</v>
      </c>
      <c r="K74" s="12">
        <v>45</v>
      </c>
      <c r="L74" s="12">
        <v>26</v>
      </c>
      <c r="M74" s="12"/>
      <c r="N74" s="12"/>
      <c r="O74" s="2" t="s">
        <v>164</v>
      </c>
    </row>
    <row r="75" s="2" customFormat="1" spans="1:15">
      <c r="A75" s="2" t="s">
        <v>165</v>
      </c>
      <c r="B75" s="2" t="s">
        <v>21</v>
      </c>
      <c r="C75" s="2" t="s">
        <v>166</v>
      </c>
      <c r="D75" s="2">
        <v>120</v>
      </c>
      <c r="E75" s="2" t="s">
        <v>23</v>
      </c>
      <c r="F75" s="2" t="s">
        <v>21</v>
      </c>
      <c r="G75" s="2">
        <v>30.8</v>
      </c>
      <c r="H75" s="8"/>
      <c r="I75" s="12"/>
      <c r="J75" s="12"/>
      <c r="K75" s="12"/>
      <c r="L75" s="12"/>
      <c r="M75" s="12">
        <v>17.73</v>
      </c>
      <c r="N75" s="12"/>
      <c r="O75" s="2" t="s">
        <v>167</v>
      </c>
    </row>
    <row r="76" s="2" customFormat="1" spans="1:15">
      <c r="A76" s="2" t="s">
        <v>168</v>
      </c>
      <c r="B76" s="2" t="s">
        <v>21</v>
      </c>
      <c r="C76" s="2" t="s">
        <v>169</v>
      </c>
      <c r="D76" s="2">
        <v>78</v>
      </c>
      <c r="E76" s="2" t="s">
        <v>37</v>
      </c>
      <c r="F76" s="2" t="s">
        <v>21</v>
      </c>
      <c r="G76" s="2">
        <v>27.32</v>
      </c>
      <c r="H76" s="2">
        <v>8.74</v>
      </c>
      <c r="I76" s="12">
        <v>46</v>
      </c>
      <c r="J76" s="12">
        <v>32</v>
      </c>
      <c r="K76" s="12"/>
      <c r="L76" s="12"/>
      <c r="M76" s="12"/>
      <c r="N76" s="12"/>
      <c r="O76" s="2" t="s">
        <v>170</v>
      </c>
    </row>
    <row r="77" s="2" customFormat="1" spans="1:15">
      <c r="A77" s="2" t="s">
        <v>168</v>
      </c>
      <c r="B77" s="2" t="s">
        <v>21</v>
      </c>
      <c r="C77" s="2" t="s">
        <v>172</v>
      </c>
      <c r="D77" s="2">
        <v>128</v>
      </c>
      <c r="E77" s="2" t="s">
        <v>37</v>
      </c>
      <c r="F77" s="2" t="s">
        <v>21</v>
      </c>
      <c r="G77" s="2">
        <v>29.87</v>
      </c>
      <c r="H77" s="2">
        <v>10.89</v>
      </c>
      <c r="I77" s="12">
        <v>57</v>
      </c>
      <c r="J77" s="12">
        <v>71</v>
      </c>
      <c r="K77" s="12"/>
      <c r="L77" s="12"/>
      <c r="M77" s="12"/>
      <c r="N77" s="12"/>
      <c r="O77" s="2" t="s">
        <v>173</v>
      </c>
    </row>
    <row r="78" s="2" customFormat="1" spans="1:15">
      <c r="A78" s="2" t="s">
        <v>174</v>
      </c>
      <c r="B78" s="2" t="s">
        <v>21</v>
      </c>
      <c r="D78" s="2">
        <v>239</v>
      </c>
      <c r="E78" s="2" t="s">
        <v>23</v>
      </c>
      <c r="F78" s="2" t="s">
        <v>21</v>
      </c>
      <c r="G78" s="2">
        <v>65.68</v>
      </c>
      <c r="H78" s="2">
        <v>6.16</v>
      </c>
      <c r="I78" s="12">
        <v>37</v>
      </c>
      <c r="J78" s="12">
        <v>202</v>
      </c>
      <c r="K78" s="12">
        <v>110</v>
      </c>
      <c r="L78" s="12">
        <v>129</v>
      </c>
      <c r="M78" s="12">
        <v>9.81</v>
      </c>
      <c r="N78" s="12">
        <v>2.77</v>
      </c>
      <c r="O78" s="2" t="s">
        <v>175</v>
      </c>
    </row>
    <row r="79" s="2" customFormat="1" spans="1:15">
      <c r="A79" s="2" t="s">
        <v>176</v>
      </c>
      <c r="B79" s="2" t="s">
        <v>21</v>
      </c>
      <c r="C79" s="2" t="s">
        <v>25</v>
      </c>
      <c r="D79" s="2">
        <v>81</v>
      </c>
      <c r="E79" s="2" t="s">
        <v>23</v>
      </c>
      <c r="F79" s="2" t="s">
        <v>21</v>
      </c>
      <c r="G79" s="8"/>
      <c r="H79" s="8"/>
      <c r="I79" s="12"/>
      <c r="J79" s="12"/>
      <c r="K79" s="12"/>
      <c r="L79" s="12"/>
      <c r="M79" s="12"/>
      <c r="N79" s="12"/>
      <c r="O79" s="2" t="s">
        <v>177</v>
      </c>
    </row>
    <row r="80" s="2" customFormat="1" spans="1:15">
      <c r="A80" s="2" t="s">
        <v>176</v>
      </c>
      <c r="B80" s="2" t="s">
        <v>21</v>
      </c>
      <c r="C80" s="2" t="s">
        <v>22</v>
      </c>
      <c r="D80" s="2">
        <v>258</v>
      </c>
      <c r="E80" s="2" t="s">
        <v>23</v>
      </c>
      <c r="F80" s="2" t="s">
        <v>21</v>
      </c>
      <c r="G80" s="8"/>
      <c r="H80" s="8"/>
      <c r="I80" s="12"/>
      <c r="J80" s="12"/>
      <c r="K80" s="12"/>
      <c r="L80" s="12"/>
      <c r="M80" s="12"/>
      <c r="N80" s="12"/>
      <c r="O80" s="2" t="s">
        <v>177</v>
      </c>
    </row>
    <row r="81" s="2" customFormat="1" spans="1:15">
      <c r="A81" s="2" t="s">
        <v>178</v>
      </c>
      <c r="B81" s="2" t="s">
        <v>21</v>
      </c>
      <c r="C81" s="2" t="s">
        <v>25</v>
      </c>
      <c r="D81" s="2">
        <v>280</v>
      </c>
      <c r="E81" s="2" t="s">
        <v>23</v>
      </c>
      <c r="F81" s="2" t="s">
        <v>21</v>
      </c>
      <c r="G81" s="8">
        <v>36.61</v>
      </c>
      <c r="H81" s="8">
        <v>4.06</v>
      </c>
      <c r="I81" s="12">
        <v>0.93</v>
      </c>
      <c r="J81" s="12">
        <v>0.07</v>
      </c>
      <c r="K81" s="12"/>
      <c r="L81" s="12"/>
      <c r="M81" s="12"/>
      <c r="N81" s="12"/>
      <c r="O81" s="2" t="s">
        <v>179</v>
      </c>
    </row>
    <row r="82" s="2" customFormat="1" spans="1:15">
      <c r="A82" s="2" t="s">
        <v>178</v>
      </c>
      <c r="B82" s="2" t="s">
        <v>21</v>
      </c>
      <c r="C82" s="2" t="s">
        <v>22</v>
      </c>
      <c r="D82" s="2">
        <v>280</v>
      </c>
      <c r="E82" s="2" t="s">
        <v>23</v>
      </c>
      <c r="F82" s="2" t="s">
        <v>21</v>
      </c>
      <c r="G82" s="8">
        <v>34.24</v>
      </c>
      <c r="H82" s="8">
        <v>3.38</v>
      </c>
      <c r="I82" s="12">
        <v>0.934</v>
      </c>
      <c r="J82" s="12">
        <v>0.066</v>
      </c>
      <c r="K82" s="12"/>
      <c r="L82" s="12"/>
      <c r="M82" s="12"/>
      <c r="N82" s="12"/>
      <c r="O82" s="2" t="s">
        <v>179</v>
      </c>
    </row>
    <row r="83" s="2" customFormat="1" spans="1:15">
      <c r="A83" s="2" t="s">
        <v>180</v>
      </c>
      <c r="B83" s="2" t="s">
        <v>21</v>
      </c>
      <c r="D83" s="2">
        <v>301</v>
      </c>
      <c r="E83" s="2" t="s">
        <v>37</v>
      </c>
      <c r="F83" s="2" t="s">
        <v>21</v>
      </c>
      <c r="G83" s="8"/>
      <c r="H83" s="8"/>
      <c r="I83" s="12">
        <v>0.9335</v>
      </c>
      <c r="J83" s="12">
        <f>1-I83</f>
        <v>0.0665</v>
      </c>
      <c r="K83" s="12"/>
      <c r="L83" s="12"/>
      <c r="M83" s="12"/>
      <c r="N83" s="12"/>
      <c r="O83" s="2" t="s">
        <v>181</v>
      </c>
    </row>
    <row r="84" s="2" customFormat="1" spans="1:15">
      <c r="A84" s="2" t="s">
        <v>182</v>
      </c>
      <c r="B84" s="2" t="s">
        <v>21</v>
      </c>
      <c r="C84" s="2" t="s">
        <v>183</v>
      </c>
      <c r="D84" s="2">
        <v>106</v>
      </c>
      <c r="E84" s="2" t="s">
        <v>37</v>
      </c>
      <c r="F84" s="2" t="s">
        <v>21</v>
      </c>
      <c r="G84" s="8">
        <v>29.62</v>
      </c>
      <c r="H84" s="8">
        <v>3.37</v>
      </c>
      <c r="I84" s="12">
        <v>0.981</v>
      </c>
      <c r="J84" s="12">
        <f>1-I84</f>
        <v>0.019</v>
      </c>
      <c r="K84" s="12">
        <v>1</v>
      </c>
      <c r="L84" s="12">
        <v>0</v>
      </c>
      <c r="M84" s="12"/>
      <c r="N84" s="12"/>
      <c r="O84" s="2" t="s">
        <v>184</v>
      </c>
    </row>
    <row r="85" s="2" customFormat="1" spans="1:15">
      <c r="A85" s="2" t="s">
        <v>182</v>
      </c>
      <c r="B85" s="2" t="s">
        <v>21</v>
      </c>
      <c r="C85" s="2" t="s">
        <v>185</v>
      </c>
      <c r="D85" s="2">
        <v>106</v>
      </c>
      <c r="E85" s="2" t="s">
        <v>37</v>
      </c>
      <c r="F85" s="2" t="s">
        <v>21</v>
      </c>
      <c r="G85" s="8">
        <v>28</v>
      </c>
      <c r="H85" s="8">
        <v>2.26</v>
      </c>
      <c r="I85" s="12">
        <v>0.943</v>
      </c>
      <c r="J85" s="12">
        <v>0.037</v>
      </c>
      <c r="K85" s="12">
        <v>0.971</v>
      </c>
      <c r="L85" s="12">
        <v>0.009</v>
      </c>
      <c r="M85" s="12"/>
      <c r="N85" s="12"/>
      <c r="O85" s="2" t="s">
        <v>184</v>
      </c>
    </row>
    <row r="86" s="2" customFormat="1" spans="1:15">
      <c r="A86" s="2" t="s">
        <v>186</v>
      </c>
      <c r="B86" s="2" t="s">
        <v>21</v>
      </c>
      <c r="D86" s="2">
        <v>128</v>
      </c>
      <c r="E86" s="2" t="s">
        <v>37</v>
      </c>
      <c r="F86" s="2" t="s">
        <v>21</v>
      </c>
      <c r="G86" s="8">
        <v>30.96</v>
      </c>
      <c r="H86" s="8">
        <v>8.08</v>
      </c>
      <c r="I86" s="12">
        <v>115</v>
      </c>
      <c r="J86" s="12">
        <v>13</v>
      </c>
      <c r="K86" s="12"/>
      <c r="L86" s="12"/>
      <c r="M86" s="12"/>
      <c r="N86" s="12"/>
      <c r="O86" s="2" t="s">
        <v>187</v>
      </c>
    </row>
    <row r="87" s="2" customFormat="1" spans="1:15">
      <c r="A87" s="2" t="s">
        <v>186</v>
      </c>
      <c r="B87" s="2" t="s">
        <v>188</v>
      </c>
      <c r="D87" s="2">
        <v>120</v>
      </c>
      <c r="E87" s="2" t="s">
        <v>37</v>
      </c>
      <c r="F87" s="2" t="s">
        <v>21</v>
      </c>
      <c r="G87" s="8">
        <v>29.43</v>
      </c>
      <c r="H87" s="8">
        <v>6.24</v>
      </c>
      <c r="I87" s="12">
        <v>114</v>
      </c>
      <c r="J87" s="12">
        <v>6</v>
      </c>
      <c r="K87" s="12"/>
      <c r="L87" s="12"/>
      <c r="M87" s="12"/>
      <c r="N87" s="12"/>
      <c r="O87" s="2" t="s">
        <v>189</v>
      </c>
    </row>
    <row r="88" s="2" customFormat="1" spans="1:15">
      <c r="A88" s="2" t="s">
        <v>186</v>
      </c>
      <c r="B88" s="2" t="s">
        <v>190</v>
      </c>
      <c r="D88" s="2">
        <v>113</v>
      </c>
      <c r="E88" s="2" t="s">
        <v>37</v>
      </c>
      <c r="F88" s="2" t="s">
        <v>21</v>
      </c>
      <c r="G88" s="8">
        <v>28.56</v>
      </c>
      <c r="H88" s="8">
        <v>6.55</v>
      </c>
      <c r="I88" s="12">
        <v>106</v>
      </c>
      <c r="J88" s="12">
        <v>7</v>
      </c>
      <c r="K88" s="12"/>
      <c r="L88" s="12"/>
      <c r="M88" s="12"/>
      <c r="N88" s="12"/>
      <c r="O88" s="2" t="s">
        <v>191</v>
      </c>
    </row>
    <row r="89" s="2" customFormat="1" spans="1:15">
      <c r="A89" s="2" t="s">
        <v>186</v>
      </c>
      <c r="B89" s="2" t="s">
        <v>63</v>
      </c>
      <c r="D89" s="2">
        <v>113</v>
      </c>
      <c r="E89" s="2" t="s">
        <v>37</v>
      </c>
      <c r="F89" s="2" t="s">
        <v>21</v>
      </c>
      <c r="G89" s="8">
        <v>29.64</v>
      </c>
      <c r="H89" s="8">
        <v>6.93</v>
      </c>
      <c r="I89" s="12">
        <v>103</v>
      </c>
      <c r="J89" s="12">
        <v>10</v>
      </c>
      <c r="K89" s="12"/>
      <c r="L89" s="12"/>
      <c r="M89" s="12"/>
      <c r="N89" s="12"/>
      <c r="O89" s="2" t="s">
        <v>192</v>
      </c>
    </row>
    <row r="90" s="2" customFormat="1" spans="1:15">
      <c r="A90" s="2" t="s">
        <v>193</v>
      </c>
      <c r="B90" s="2" t="s">
        <v>21</v>
      </c>
      <c r="D90" s="2">
        <v>557</v>
      </c>
      <c r="E90" s="2" t="s">
        <v>37</v>
      </c>
      <c r="F90" s="2" t="s">
        <v>21</v>
      </c>
      <c r="G90" s="8">
        <v>32.51</v>
      </c>
      <c r="H90" s="8">
        <v>9.53</v>
      </c>
      <c r="I90" s="12">
        <v>486</v>
      </c>
      <c r="J90" s="12">
        <v>71</v>
      </c>
      <c r="K90" s="12">
        <v>545</v>
      </c>
      <c r="L90" s="12">
        <v>12</v>
      </c>
      <c r="M90" s="12"/>
      <c r="N90" s="12"/>
      <c r="O90" s="2" t="s">
        <v>194</v>
      </c>
    </row>
    <row r="91" s="2" customFormat="1" spans="1:15">
      <c r="A91" s="2" t="s">
        <v>195</v>
      </c>
      <c r="B91" s="2" t="s">
        <v>21</v>
      </c>
      <c r="C91" s="2" t="s">
        <v>196</v>
      </c>
      <c r="D91" s="2">
        <v>1144</v>
      </c>
      <c r="E91" s="2" t="s">
        <v>23</v>
      </c>
      <c r="F91" s="2" t="s">
        <v>21</v>
      </c>
      <c r="G91" s="8" t="s">
        <v>197</v>
      </c>
      <c r="H91" s="8" t="s">
        <v>198</v>
      </c>
      <c r="I91" s="12"/>
      <c r="J91" s="12"/>
      <c r="K91" s="12"/>
      <c r="L91" s="12"/>
      <c r="M91" s="12"/>
      <c r="N91" s="12"/>
      <c r="O91" s="2" t="s">
        <v>199</v>
      </c>
    </row>
    <row r="92" s="4" customFormat="1" spans="1:16">
      <c r="A92" s="4" t="s">
        <v>467</v>
      </c>
      <c r="B92" s="4" t="s">
        <v>21</v>
      </c>
      <c r="D92" s="4">
        <v>389</v>
      </c>
      <c r="E92" s="4" t="s">
        <v>37</v>
      </c>
      <c r="F92" s="4" t="s">
        <v>21</v>
      </c>
      <c r="G92" s="10"/>
      <c r="H92" s="10"/>
      <c r="I92" s="14">
        <v>1</v>
      </c>
      <c r="J92" s="14">
        <v>0</v>
      </c>
      <c r="K92" s="14">
        <v>1</v>
      </c>
      <c r="L92" s="14">
        <v>0</v>
      </c>
      <c r="M92" s="14"/>
      <c r="N92" s="14"/>
      <c r="O92" s="4" t="s">
        <v>468</v>
      </c>
      <c r="P92" s="4" t="s">
        <v>456</v>
      </c>
    </row>
    <row r="93" s="2" customFormat="1" ht="1.8" customHeight="1" spans="1:15">
      <c r="A93" s="2" t="s">
        <v>200</v>
      </c>
      <c r="B93" s="2" t="s">
        <v>21</v>
      </c>
      <c r="D93" s="2">
        <v>426</v>
      </c>
      <c r="E93" s="2" t="s">
        <v>23</v>
      </c>
      <c r="F93" s="2" t="s">
        <v>21</v>
      </c>
      <c r="G93" s="8">
        <v>36.67</v>
      </c>
      <c r="H93" s="8">
        <v>3.52</v>
      </c>
      <c r="I93" s="12">
        <v>426</v>
      </c>
      <c r="J93" s="12">
        <v>0</v>
      </c>
      <c r="K93" s="12">
        <v>426</v>
      </c>
      <c r="L93" s="12">
        <v>0</v>
      </c>
      <c r="M93" s="12"/>
      <c r="N93" s="12"/>
      <c r="O93" s="2" t="s">
        <v>201</v>
      </c>
    </row>
    <row r="94" s="2" customFormat="1" spans="1:15">
      <c r="A94" s="2" t="s">
        <v>202</v>
      </c>
      <c r="B94" s="2" t="s">
        <v>21</v>
      </c>
      <c r="C94" s="2" t="s">
        <v>203</v>
      </c>
      <c r="D94" s="2">
        <v>24</v>
      </c>
      <c r="E94" s="2" t="s">
        <v>23</v>
      </c>
      <c r="F94" s="2" t="s">
        <v>21</v>
      </c>
      <c r="G94" s="2">
        <v>23.54</v>
      </c>
      <c r="H94" s="2">
        <v>2.52</v>
      </c>
      <c r="I94" s="12"/>
      <c r="J94" s="12"/>
      <c r="K94" s="12">
        <v>24</v>
      </c>
      <c r="L94" s="12">
        <v>0</v>
      </c>
      <c r="M94" s="12"/>
      <c r="N94" s="12"/>
      <c r="O94" s="2" t="s">
        <v>204</v>
      </c>
    </row>
    <row r="95" s="2" customFormat="1" spans="1:15">
      <c r="A95" s="2" t="s">
        <v>202</v>
      </c>
      <c r="B95" s="2" t="s">
        <v>21</v>
      </c>
      <c r="C95" s="2" t="s">
        <v>205</v>
      </c>
      <c r="D95" s="2">
        <v>24</v>
      </c>
      <c r="E95" s="2" t="s">
        <v>23</v>
      </c>
      <c r="F95" s="2" t="s">
        <v>21</v>
      </c>
      <c r="G95" s="2">
        <v>64.42</v>
      </c>
      <c r="H95" s="2">
        <v>7.49</v>
      </c>
      <c r="I95" s="12"/>
      <c r="J95" s="12"/>
      <c r="K95" s="12">
        <v>24</v>
      </c>
      <c r="L95" s="12">
        <v>0</v>
      </c>
      <c r="M95" s="12"/>
      <c r="N95" s="12"/>
      <c r="O95" s="2" t="s">
        <v>204</v>
      </c>
    </row>
    <row r="96" s="2" customFormat="1" spans="1:15">
      <c r="A96" s="2" t="s">
        <v>206</v>
      </c>
      <c r="B96" s="2" t="s">
        <v>21</v>
      </c>
      <c r="C96" s="2" t="s">
        <v>207</v>
      </c>
      <c r="D96" s="2">
        <v>17</v>
      </c>
      <c r="E96" s="2" t="s">
        <v>23</v>
      </c>
      <c r="F96" s="2" t="s">
        <v>21</v>
      </c>
      <c r="G96" s="2">
        <v>38.76</v>
      </c>
      <c r="H96" s="2">
        <v>5.25</v>
      </c>
      <c r="I96" s="12"/>
      <c r="J96" s="12"/>
      <c r="K96" s="12"/>
      <c r="L96" s="12"/>
      <c r="M96" s="12">
        <v>10.71</v>
      </c>
      <c r="N96" s="12">
        <v>2.64</v>
      </c>
      <c r="O96" s="2" t="s">
        <v>208</v>
      </c>
    </row>
    <row r="97" s="2" customFormat="1" spans="1:15">
      <c r="A97" s="2" t="s">
        <v>206</v>
      </c>
      <c r="B97" s="2" t="s">
        <v>21</v>
      </c>
      <c r="C97" s="2" t="s">
        <v>89</v>
      </c>
      <c r="D97" s="2">
        <v>19</v>
      </c>
      <c r="E97" s="2" t="s">
        <v>23</v>
      </c>
      <c r="F97" s="2" t="s">
        <v>21</v>
      </c>
      <c r="G97" s="2">
        <v>36.53</v>
      </c>
      <c r="H97" s="2">
        <v>8.28999999999999</v>
      </c>
      <c r="I97" s="12"/>
      <c r="J97" s="12"/>
      <c r="K97" s="12"/>
      <c r="L97" s="12"/>
      <c r="M97" s="12">
        <v>10.95</v>
      </c>
      <c r="N97" s="12">
        <v>4.36</v>
      </c>
      <c r="O97" s="2" t="s">
        <v>209</v>
      </c>
    </row>
    <row r="98" s="2" customFormat="1" spans="1:15">
      <c r="A98" s="2" t="s">
        <v>210</v>
      </c>
      <c r="B98" s="2" t="s">
        <v>21</v>
      </c>
      <c r="D98" s="2">
        <v>326</v>
      </c>
      <c r="E98" s="2" t="s">
        <v>23</v>
      </c>
      <c r="F98" s="2" t="s">
        <v>21</v>
      </c>
      <c r="G98" s="8"/>
      <c r="H98" s="8"/>
      <c r="I98" s="12">
        <v>326</v>
      </c>
      <c r="J98" s="12">
        <v>0</v>
      </c>
      <c r="K98" s="12">
        <v>326</v>
      </c>
      <c r="L98" s="12">
        <v>0</v>
      </c>
      <c r="M98" s="12"/>
      <c r="N98" s="12"/>
      <c r="O98" s="2" t="s">
        <v>211</v>
      </c>
    </row>
    <row r="99" s="2" customFormat="1" spans="1:15">
      <c r="A99" s="2" t="s">
        <v>212</v>
      </c>
      <c r="B99" s="2" t="s">
        <v>21</v>
      </c>
      <c r="D99" s="2">
        <v>277</v>
      </c>
      <c r="E99" s="2" t="s">
        <v>23</v>
      </c>
      <c r="F99" s="2" t="s">
        <v>21</v>
      </c>
      <c r="G99" s="2">
        <v>47.26</v>
      </c>
      <c r="H99" s="2">
        <v>8.59</v>
      </c>
      <c r="I99" s="12"/>
      <c r="J99" s="12"/>
      <c r="K99" s="12">
        <v>118</v>
      </c>
      <c r="L99" s="12">
        <v>159</v>
      </c>
      <c r="M99" s="12"/>
      <c r="N99" s="12"/>
      <c r="O99" s="2" t="s">
        <v>213</v>
      </c>
    </row>
    <row r="100" s="2" customFormat="1" spans="1:15">
      <c r="A100" s="2" t="s">
        <v>214</v>
      </c>
      <c r="B100" s="2" t="s">
        <v>21</v>
      </c>
      <c r="D100" s="2">
        <v>477</v>
      </c>
      <c r="E100" s="2" t="s">
        <v>23</v>
      </c>
      <c r="F100" s="2" t="s">
        <v>21</v>
      </c>
      <c r="G100" s="8"/>
      <c r="H100" s="8"/>
      <c r="I100" s="12">
        <v>324</v>
      </c>
      <c r="J100" s="12">
        <v>153</v>
      </c>
      <c r="K100" s="12"/>
      <c r="L100" s="12"/>
      <c r="M100" s="12"/>
      <c r="N100" s="12"/>
      <c r="O100" s="2" t="s">
        <v>215</v>
      </c>
    </row>
    <row r="101" s="2" customFormat="1" spans="1:15">
      <c r="A101" s="2" t="s">
        <v>216</v>
      </c>
      <c r="B101" s="2" t="s">
        <v>21</v>
      </c>
      <c r="D101" s="2">
        <v>80</v>
      </c>
      <c r="E101" s="2" t="s">
        <v>23</v>
      </c>
      <c r="F101" s="2" t="s">
        <v>21</v>
      </c>
      <c r="G101" s="2">
        <v>30.51</v>
      </c>
      <c r="H101" s="2">
        <v>9.54</v>
      </c>
      <c r="I101" s="12">
        <v>51</v>
      </c>
      <c r="J101" s="12">
        <v>29</v>
      </c>
      <c r="K101" s="12"/>
      <c r="L101" s="12"/>
      <c r="M101" s="12"/>
      <c r="N101" s="12"/>
      <c r="O101" s="2" t="s">
        <v>217</v>
      </c>
    </row>
    <row r="102" s="2" customFormat="1" spans="1:15">
      <c r="A102" s="2" t="s">
        <v>218</v>
      </c>
      <c r="B102" s="2" t="s">
        <v>21</v>
      </c>
      <c r="C102" s="2" t="s">
        <v>219</v>
      </c>
      <c r="D102" s="2">
        <v>60</v>
      </c>
      <c r="E102" s="2" t="s">
        <v>23</v>
      </c>
      <c r="F102" s="2" t="s">
        <v>21</v>
      </c>
      <c r="G102" s="2">
        <v>59.85</v>
      </c>
      <c r="H102" s="2">
        <v>10.39</v>
      </c>
      <c r="I102" s="12">
        <v>38</v>
      </c>
      <c r="J102" s="12">
        <v>22</v>
      </c>
      <c r="K102" s="12">
        <v>60</v>
      </c>
      <c r="L102" s="12">
        <v>0</v>
      </c>
      <c r="M102" s="12"/>
      <c r="N102" s="12"/>
      <c r="O102" s="2" t="s">
        <v>220</v>
      </c>
    </row>
    <row r="103" s="2" customFormat="1" spans="1:15">
      <c r="A103" s="2" t="s">
        <v>218</v>
      </c>
      <c r="B103" s="2" t="s">
        <v>21</v>
      </c>
      <c r="C103" s="2" t="s">
        <v>221</v>
      </c>
      <c r="D103" s="2">
        <v>45</v>
      </c>
      <c r="E103" s="2" t="s">
        <v>23</v>
      </c>
      <c r="F103" s="2" t="s">
        <v>21</v>
      </c>
      <c r="G103" s="2">
        <v>53.63</v>
      </c>
      <c r="H103" s="2">
        <v>9.34</v>
      </c>
      <c r="I103" s="12">
        <v>29</v>
      </c>
      <c r="J103" s="12">
        <v>16</v>
      </c>
      <c r="K103" s="12">
        <v>45</v>
      </c>
      <c r="L103" s="12">
        <v>0</v>
      </c>
      <c r="M103" s="12"/>
      <c r="N103" s="12"/>
      <c r="O103" s="2" t="s">
        <v>222</v>
      </c>
    </row>
    <row r="104" s="2" customFormat="1" spans="1:15">
      <c r="A104" s="2" t="s">
        <v>218</v>
      </c>
      <c r="B104" s="2" t="s">
        <v>21</v>
      </c>
      <c r="C104" s="2" t="s">
        <v>223</v>
      </c>
      <c r="D104" s="2">
        <v>50</v>
      </c>
      <c r="E104" s="2" t="s">
        <v>23</v>
      </c>
      <c r="F104" s="2" t="s">
        <v>21</v>
      </c>
      <c r="G104" s="2">
        <v>57.3</v>
      </c>
      <c r="H104" s="2">
        <v>9.63</v>
      </c>
      <c r="I104" s="12">
        <v>32</v>
      </c>
      <c r="J104" s="12">
        <v>18</v>
      </c>
      <c r="K104" s="12">
        <v>50</v>
      </c>
      <c r="L104" s="12">
        <v>0</v>
      </c>
      <c r="M104" s="12"/>
      <c r="N104" s="12"/>
      <c r="O104" s="2" t="s">
        <v>224</v>
      </c>
    </row>
    <row r="105" s="2" customFormat="1" spans="1:15">
      <c r="A105" s="2" t="s">
        <v>225</v>
      </c>
      <c r="B105" s="2" t="s">
        <v>21</v>
      </c>
      <c r="D105" s="2">
        <v>258</v>
      </c>
      <c r="E105" s="2" t="s">
        <v>23</v>
      </c>
      <c r="F105" s="2" t="s">
        <v>21</v>
      </c>
      <c r="G105" s="2">
        <v>28.09</v>
      </c>
      <c r="H105" s="2">
        <v>7.131</v>
      </c>
      <c r="I105" s="12"/>
      <c r="J105" s="12"/>
      <c r="K105" s="12">
        <v>259</v>
      </c>
      <c r="L105" s="12">
        <v>0</v>
      </c>
      <c r="M105" s="12"/>
      <c r="N105" s="12"/>
      <c r="O105" s="2" t="s">
        <v>226</v>
      </c>
    </row>
    <row r="106" s="2" customFormat="1" spans="1:15">
      <c r="A106" s="2" t="s">
        <v>227</v>
      </c>
      <c r="B106" s="2" t="s">
        <v>21</v>
      </c>
      <c r="D106" s="2">
        <v>465</v>
      </c>
      <c r="E106" s="2" t="s">
        <v>23</v>
      </c>
      <c r="F106" s="2" t="s">
        <v>21</v>
      </c>
      <c r="G106" s="8"/>
      <c r="H106" s="8"/>
      <c r="I106" s="12">
        <v>0</v>
      </c>
      <c r="J106" s="12">
        <v>465</v>
      </c>
      <c r="K106" s="12"/>
      <c r="L106" s="12"/>
      <c r="M106" s="12"/>
      <c r="N106" s="12"/>
      <c r="O106" s="2" t="s">
        <v>228</v>
      </c>
    </row>
    <row r="107" s="2" customFormat="1" spans="1:15">
      <c r="A107" s="2" t="s">
        <v>229</v>
      </c>
      <c r="B107" s="2" t="s">
        <v>21</v>
      </c>
      <c r="D107" s="2">
        <v>428</v>
      </c>
      <c r="E107" s="2" t="s">
        <v>23</v>
      </c>
      <c r="F107" s="2" t="s">
        <v>21</v>
      </c>
      <c r="G107" s="8"/>
      <c r="H107" s="8"/>
      <c r="I107" s="12"/>
      <c r="J107" s="12"/>
      <c r="K107" s="12"/>
      <c r="L107" s="12"/>
      <c r="M107" s="12"/>
      <c r="N107" s="12"/>
      <c r="O107" s="2" t="s">
        <v>230</v>
      </c>
    </row>
    <row r="108" s="2" customFormat="1" spans="1:15">
      <c r="A108" s="2" t="s">
        <v>231</v>
      </c>
      <c r="B108" s="2" t="s">
        <v>21</v>
      </c>
      <c r="C108" s="2" t="s">
        <v>232</v>
      </c>
      <c r="D108" s="2">
        <v>30</v>
      </c>
      <c r="E108" s="2" t="s">
        <v>23</v>
      </c>
      <c r="F108" s="2" t="s">
        <v>21</v>
      </c>
      <c r="G108" s="2">
        <v>22.73</v>
      </c>
      <c r="H108" s="2">
        <v>2.89</v>
      </c>
      <c r="I108" s="12"/>
      <c r="J108" s="12"/>
      <c r="K108" s="12"/>
      <c r="L108" s="12"/>
      <c r="M108" s="12">
        <v>16.27</v>
      </c>
      <c r="N108" s="12">
        <v>1.74</v>
      </c>
      <c r="O108" s="2" t="s">
        <v>233</v>
      </c>
    </row>
    <row r="109" s="2" customFormat="1" spans="1:15">
      <c r="A109" s="2" t="s">
        <v>231</v>
      </c>
      <c r="B109" s="2" t="s">
        <v>21</v>
      </c>
      <c r="C109" s="2" t="s">
        <v>234</v>
      </c>
      <c r="D109" s="2">
        <v>30</v>
      </c>
      <c r="E109" s="2" t="s">
        <v>23</v>
      </c>
      <c r="F109" s="2" t="s">
        <v>21</v>
      </c>
      <c r="G109" s="2">
        <v>68.17</v>
      </c>
      <c r="H109" s="2">
        <v>5.63</v>
      </c>
      <c r="I109" s="12"/>
      <c r="J109" s="12"/>
      <c r="K109" s="12"/>
      <c r="L109" s="12"/>
      <c r="M109" s="12">
        <v>14.63</v>
      </c>
      <c r="N109" s="12">
        <v>2.16</v>
      </c>
      <c r="O109" s="2" t="s">
        <v>235</v>
      </c>
    </row>
    <row r="110" s="2" customFormat="1" spans="1:15">
      <c r="A110" s="2" t="s">
        <v>231</v>
      </c>
      <c r="B110" s="2" t="s">
        <v>21</v>
      </c>
      <c r="C110" s="2" t="s">
        <v>232</v>
      </c>
      <c r="D110" s="2">
        <v>30</v>
      </c>
      <c r="E110" s="2" t="s">
        <v>23</v>
      </c>
      <c r="F110" s="2" t="s">
        <v>21</v>
      </c>
      <c r="G110" s="2">
        <v>22.47</v>
      </c>
      <c r="H110" s="2">
        <v>1.94</v>
      </c>
      <c r="I110" s="12"/>
      <c r="J110" s="12"/>
      <c r="K110" s="12"/>
      <c r="L110" s="12"/>
      <c r="M110" s="12">
        <v>16.07</v>
      </c>
      <c r="N110" s="12">
        <v>1.29</v>
      </c>
      <c r="O110" s="2" t="s">
        <v>236</v>
      </c>
    </row>
    <row r="111" s="2" customFormat="1" spans="1:15">
      <c r="A111" s="2" t="s">
        <v>231</v>
      </c>
      <c r="B111" s="2" t="s">
        <v>21</v>
      </c>
      <c r="C111" s="2" t="s">
        <v>234</v>
      </c>
      <c r="D111" s="2">
        <v>30</v>
      </c>
      <c r="E111" s="2" t="s">
        <v>23</v>
      </c>
      <c r="F111" s="2" t="s">
        <v>21</v>
      </c>
      <c r="G111" s="2">
        <v>68.93</v>
      </c>
      <c r="H111" s="2">
        <v>5.42</v>
      </c>
      <c r="I111" s="12"/>
      <c r="J111" s="12"/>
      <c r="K111" s="12"/>
      <c r="L111" s="12"/>
      <c r="M111" s="12">
        <v>14.2</v>
      </c>
      <c r="N111" s="12">
        <v>2.4</v>
      </c>
      <c r="O111" s="2" t="s">
        <v>237</v>
      </c>
    </row>
    <row r="112" s="2" customFormat="1" spans="1:15">
      <c r="A112" s="2" t="s">
        <v>238</v>
      </c>
      <c r="B112" s="2" t="s">
        <v>21</v>
      </c>
      <c r="D112" s="2">
        <v>266</v>
      </c>
      <c r="E112" s="2" t="s">
        <v>23</v>
      </c>
      <c r="F112" s="2" t="s">
        <v>21</v>
      </c>
      <c r="G112" s="2">
        <v>25.84</v>
      </c>
      <c r="H112" s="2">
        <v>2.99</v>
      </c>
      <c r="I112" s="12">
        <v>266</v>
      </c>
      <c r="J112" s="12">
        <v>0</v>
      </c>
      <c r="K112" s="12">
        <v>266</v>
      </c>
      <c r="L112" s="12">
        <v>0</v>
      </c>
      <c r="M112" s="12"/>
      <c r="N112" s="12"/>
      <c r="O112" s="2" t="s">
        <v>239</v>
      </c>
    </row>
    <row r="113" s="2" customFormat="1" spans="1:15">
      <c r="A113" s="2" t="s">
        <v>240</v>
      </c>
      <c r="B113" s="2" t="s">
        <v>21</v>
      </c>
      <c r="D113" s="2">
        <v>409</v>
      </c>
      <c r="E113" s="2" t="s">
        <v>23</v>
      </c>
      <c r="F113" s="2" t="s">
        <v>21</v>
      </c>
      <c r="G113" s="2">
        <v>29.26</v>
      </c>
      <c r="H113" s="2">
        <v>3.56</v>
      </c>
      <c r="I113" s="12"/>
      <c r="J113" s="12"/>
      <c r="K113" s="12"/>
      <c r="L113" s="12"/>
      <c r="M113" s="12"/>
      <c r="N113" s="12"/>
      <c r="O113" s="2" t="s">
        <v>241</v>
      </c>
    </row>
    <row r="114" s="2" customFormat="1" spans="1:15">
      <c r="A114" s="2" t="s">
        <v>242</v>
      </c>
      <c r="B114" s="2" t="s">
        <v>21</v>
      </c>
      <c r="D114" s="2">
        <v>560</v>
      </c>
      <c r="E114" s="2" t="s">
        <v>23</v>
      </c>
      <c r="F114" s="2" t="s">
        <v>21</v>
      </c>
      <c r="G114" s="8"/>
      <c r="H114" s="8"/>
      <c r="I114" s="12">
        <v>532</v>
      </c>
      <c r="J114" s="12">
        <v>28</v>
      </c>
      <c r="K114" s="12"/>
      <c r="L114" s="12"/>
      <c r="M114" s="12"/>
      <c r="N114" s="12"/>
      <c r="O114" s="2" t="s">
        <v>243</v>
      </c>
    </row>
    <row r="115" s="2" customFormat="1" spans="1:15">
      <c r="A115" s="2" t="s">
        <v>244</v>
      </c>
      <c r="B115" s="2" t="s">
        <v>21</v>
      </c>
      <c r="D115" s="2">
        <v>223</v>
      </c>
      <c r="E115" s="2" t="s">
        <v>23</v>
      </c>
      <c r="F115" s="2" t="s">
        <v>21</v>
      </c>
      <c r="G115" s="2">
        <v>26.71</v>
      </c>
      <c r="H115" s="2">
        <v>5.29</v>
      </c>
      <c r="I115" s="12">
        <v>0.6884</v>
      </c>
      <c r="J115" s="12">
        <v>0.307</v>
      </c>
      <c r="K115" s="12">
        <v>0.9954</v>
      </c>
      <c r="L115" s="12">
        <f>1-K115</f>
        <v>0.00460000000000005</v>
      </c>
      <c r="M115" s="12"/>
      <c r="N115" s="12"/>
      <c r="O115" s="2" t="s">
        <v>245</v>
      </c>
    </row>
    <row r="116" s="2" customFormat="1" spans="1:15">
      <c r="A116" s="2" t="s">
        <v>246</v>
      </c>
      <c r="B116" s="2" t="s">
        <v>21</v>
      </c>
      <c r="D116" s="2">
        <v>323</v>
      </c>
      <c r="E116" s="2" t="s">
        <v>23</v>
      </c>
      <c r="F116" s="2" t="s">
        <v>21</v>
      </c>
      <c r="G116" s="8"/>
      <c r="H116" s="8"/>
      <c r="I116" s="12"/>
      <c r="J116" s="12"/>
      <c r="K116" s="12"/>
      <c r="L116" s="12"/>
      <c r="M116" s="12"/>
      <c r="N116" s="12"/>
      <c r="O116" s="2" t="s">
        <v>247</v>
      </c>
    </row>
    <row r="117" s="2" customFormat="1" spans="1:15">
      <c r="A117" s="2" t="s">
        <v>248</v>
      </c>
      <c r="B117" s="2" t="s">
        <v>21</v>
      </c>
      <c r="C117" s="2" t="s">
        <v>249</v>
      </c>
      <c r="D117" s="2">
        <v>32</v>
      </c>
      <c r="E117" s="2" t="s">
        <v>37</v>
      </c>
      <c r="F117" s="2" t="s">
        <v>21</v>
      </c>
      <c r="G117" s="2">
        <v>45.41</v>
      </c>
      <c r="H117" s="2">
        <v>8.12</v>
      </c>
      <c r="I117" s="12"/>
      <c r="J117" s="12"/>
      <c r="K117" s="12"/>
      <c r="L117" s="12"/>
      <c r="M117" s="12">
        <v>8.69</v>
      </c>
      <c r="N117" s="12">
        <v>3.01</v>
      </c>
      <c r="O117" s="2" t="s">
        <v>250</v>
      </c>
    </row>
    <row r="118" s="2" customFormat="1" spans="1:15">
      <c r="A118" s="2" t="s">
        <v>248</v>
      </c>
      <c r="B118" s="2" t="s">
        <v>21</v>
      </c>
      <c r="C118" s="2" t="s">
        <v>251</v>
      </c>
      <c r="D118" s="2">
        <v>34</v>
      </c>
      <c r="E118" s="2" t="s">
        <v>37</v>
      </c>
      <c r="F118" s="2" t="s">
        <v>21</v>
      </c>
      <c r="G118" s="2">
        <v>46.38</v>
      </c>
      <c r="H118" s="2">
        <v>4.9</v>
      </c>
      <c r="I118" s="12"/>
      <c r="J118" s="12"/>
      <c r="K118" s="12"/>
      <c r="L118" s="12"/>
      <c r="M118" s="12">
        <v>7.82</v>
      </c>
      <c r="N118" s="12">
        <v>1.98</v>
      </c>
      <c r="O118" s="2" t="s">
        <v>252</v>
      </c>
    </row>
    <row r="119" s="2" customFormat="1" spans="1:15">
      <c r="A119" s="2" t="s">
        <v>253</v>
      </c>
      <c r="B119" s="2" t="s">
        <v>21</v>
      </c>
      <c r="C119" s="2" t="s">
        <v>254</v>
      </c>
      <c r="D119" s="2">
        <v>38</v>
      </c>
      <c r="E119" s="2" t="s">
        <v>37</v>
      </c>
      <c r="F119" s="2" t="s">
        <v>21</v>
      </c>
      <c r="G119" s="2">
        <v>32.9</v>
      </c>
      <c r="H119" s="2">
        <v>9.5</v>
      </c>
      <c r="I119" s="12"/>
      <c r="J119" s="12"/>
      <c r="K119" s="12"/>
      <c r="L119" s="12"/>
      <c r="M119" s="12">
        <v>8.53</v>
      </c>
      <c r="N119" s="12">
        <v>1.92</v>
      </c>
      <c r="O119" s="2" t="s">
        <v>255</v>
      </c>
    </row>
    <row r="120" s="2" customFormat="1" spans="1:15">
      <c r="A120" s="2" t="s">
        <v>253</v>
      </c>
      <c r="B120" s="2" t="s">
        <v>21</v>
      </c>
      <c r="C120" s="2" t="s">
        <v>89</v>
      </c>
      <c r="D120" s="2">
        <v>37</v>
      </c>
      <c r="E120" s="2" t="s">
        <v>37</v>
      </c>
      <c r="F120" s="2" t="s">
        <v>21</v>
      </c>
      <c r="G120" s="2">
        <v>31.86</v>
      </c>
      <c r="H120" s="2">
        <v>10.35</v>
      </c>
      <c r="I120" s="12"/>
      <c r="J120" s="12"/>
      <c r="K120" s="12"/>
      <c r="L120" s="12"/>
      <c r="M120" s="12">
        <v>9.31</v>
      </c>
      <c r="N120" s="12">
        <v>1.66</v>
      </c>
      <c r="O120" s="2" t="s">
        <v>256</v>
      </c>
    </row>
    <row r="121" s="2" customFormat="1" spans="1:15">
      <c r="A121" s="2" t="s">
        <v>253</v>
      </c>
      <c r="B121" s="2" t="s">
        <v>128</v>
      </c>
      <c r="C121" s="2" t="s">
        <v>254</v>
      </c>
      <c r="D121" s="2">
        <v>38</v>
      </c>
      <c r="E121" s="2" t="s">
        <v>37</v>
      </c>
      <c r="F121" s="2" t="s">
        <v>21</v>
      </c>
      <c r="G121" s="2">
        <v>31.43</v>
      </c>
      <c r="H121" s="2">
        <v>7.54</v>
      </c>
      <c r="I121" s="12"/>
      <c r="J121" s="12"/>
      <c r="K121" s="12"/>
      <c r="L121" s="12"/>
      <c r="M121" s="12">
        <v>8.9</v>
      </c>
      <c r="N121" s="12">
        <v>1.47</v>
      </c>
      <c r="O121" s="2" t="s">
        <v>257</v>
      </c>
    </row>
    <row r="122" s="2" customFormat="1" spans="1:15">
      <c r="A122" s="2" t="s">
        <v>253</v>
      </c>
      <c r="B122" s="2" t="s">
        <v>128</v>
      </c>
      <c r="C122" s="2" t="s">
        <v>89</v>
      </c>
      <c r="D122" s="2">
        <v>36</v>
      </c>
      <c r="E122" s="2" t="s">
        <v>37</v>
      </c>
      <c r="F122" s="2" t="s">
        <v>21</v>
      </c>
      <c r="G122" s="2">
        <v>33.13</v>
      </c>
      <c r="H122" s="2">
        <v>10.63</v>
      </c>
      <c r="I122" s="12"/>
      <c r="J122" s="12"/>
      <c r="K122" s="12"/>
      <c r="L122" s="12"/>
      <c r="M122" s="12">
        <v>9.58</v>
      </c>
      <c r="N122" s="12">
        <v>2.14</v>
      </c>
      <c r="O122" s="2" t="s">
        <v>256</v>
      </c>
    </row>
    <row r="123" s="2" customFormat="1" spans="1:15">
      <c r="A123" s="2" t="s">
        <v>258</v>
      </c>
      <c r="B123" s="2" t="s">
        <v>21</v>
      </c>
      <c r="D123" s="2">
        <v>4199</v>
      </c>
      <c r="E123" s="2" t="s">
        <v>23</v>
      </c>
      <c r="F123" s="2" t="s">
        <v>21</v>
      </c>
      <c r="G123" s="2">
        <v>30.24</v>
      </c>
      <c r="H123" s="2">
        <v>7.4</v>
      </c>
      <c r="I123" s="12">
        <v>3412</v>
      </c>
      <c r="J123" s="12">
        <v>787</v>
      </c>
      <c r="K123" s="12">
        <v>4017</v>
      </c>
      <c r="L123" s="12">
        <v>182</v>
      </c>
      <c r="M123" s="12"/>
      <c r="N123" s="12"/>
      <c r="O123" s="2" t="s">
        <v>259</v>
      </c>
    </row>
    <row r="124" s="2" customFormat="1" spans="1:15">
      <c r="A124" s="2" t="s">
        <v>260</v>
      </c>
      <c r="B124" s="2" t="s">
        <v>21</v>
      </c>
      <c r="C124" s="2" t="s">
        <v>25</v>
      </c>
      <c r="D124" s="2">
        <v>556</v>
      </c>
      <c r="E124" s="2" t="s">
        <v>23</v>
      </c>
      <c r="F124" s="2" t="s">
        <v>21</v>
      </c>
      <c r="G124" s="2">
        <v>45.55</v>
      </c>
      <c r="H124" s="2">
        <v>6.28</v>
      </c>
      <c r="I124" s="12">
        <v>33</v>
      </c>
      <c r="J124" s="12">
        <v>523</v>
      </c>
      <c r="K124" s="12">
        <v>196</v>
      </c>
      <c r="L124" s="12">
        <v>360</v>
      </c>
      <c r="M124" s="12"/>
      <c r="N124" s="12"/>
      <c r="O124" s="2" t="s">
        <v>261</v>
      </c>
    </row>
    <row r="125" s="2" customFormat="1" spans="1:15">
      <c r="A125" s="2" t="s">
        <v>260</v>
      </c>
      <c r="B125" s="2" t="s">
        <v>21</v>
      </c>
      <c r="C125" s="2" t="s">
        <v>22</v>
      </c>
      <c r="D125" s="2">
        <v>536</v>
      </c>
      <c r="E125" s="2" t="s">
        <v>23</v>
      </c>
      <c r="F125" s="2" t="s">
        <v>21</v>
      </c>
      <c r="G125" s="2">
        <v>43.87</v>
      </c>
      <c r="H125" s="2">
        <v>6.16</v>
      </c>
      <c r="I125" s="12">
        <v>25</v>
      </c>
      <c r="J125" s="12">
        <v>511</v>
      </c>
      <c r="K125" s="12">
        <v>186</v>
      </c>
      <c r="L125" s="12">
        <v>350</v>
      </c>
      <c r="M125" s="12"/>
      <c r="N125" s="12"/>
      <c r="O125" s="2" t="s">
        <v>262</v>
      </c>
    </row>
    <row r="126" s="2" customFormat="1" spans="1:15">
      <c r="A126" s="2" t="s">
        <v>263</v>
      </c>
      <c r="B126" s="2" t="s">
        <v>21</v>
      </c>
      <c r="D126" s="2">
        <v>189</v>
      </c>
      <c r="E126" s="2" t="s">
        <v>23</v>
      </c>
      <c r="F126" s="2" t="s">
        <v>21</v>
      </c>
      <c r="G126" s="8"/>
      <c r="H126" s="8"/>
      <c r="I126" s="12">
        <v>189</v>
      </c>
      <c r="J126" s="12">
        <v>0</v>
      </c>
      <c r="K126" s="12">
        <v>189</v>
      </c>
      <c r="L126" s="12">
        <v>0</v>
      </c>
      <c r="M126" s="12"/>
      <c r="N126" s="12"/>
      <c r="O126" s="2" t="s">
        <v>264</v>
      </c>
    </row>
    <row r="127" s="2" customFormat="1" spans="1:15">
      <c r="A127" s="2" t="s">
        <v>265</v>
      </c>
      <c r="B127" s="2" t="s">
        <v>21</v>
      </c>
      <c r="D127" s="2">
        <v>1066</v>
      </c>
      <c r="E127" s="2" t="s">
        <v>23</v>
      </c>
      <c r="F127" s="2" t="s">
        <v>21</v>
      </c>
      <c r="G127" s="8"/>
      <c r="H127" s="8"/>
      <c r="I127" s="12">
        <v>0.693</v>
      </c>
      <c r="J127" s="12">
        <v>0.307</v>
      </c>
      <c r="K127" s="12"/>
      <c r="L127" s="12"/>
      <c r="M127" s="12"/>
      <c r="N127" s="12"/>
      <c r="O127" s="2" t="s">
        <v>266</v>
      </c>
    </row>
    <row r="128" s="2" customFormat="1" spans="1:15">
      <c r="A128" s="2" t="s">
        <v>267</v>
      </c>
      <c r="B128" s="2" t="s">
        <v>128</v>
      </c>
      <c r="D128" s="2">
        <v>154</v>
      </c>
      <c r="E128" s="2" t="s">
        <v>37</v>
      </c>
      <c r="F128" s="2" t="s">
        <v>21</v>
      </c>
      <c r="G128" s="8"/>
      <c r="H128" s="8"/>
      <c r="I128" s="12">
        <v>154</v>
      </c>
      <c r="J128" s="12">
        <v>0</v>
      </c>
      <c r="K128" s="12">
        <v>154</v>
      </c>
      <c r="L128" s="12">
        <v>0</v>
      </c>
      <c r="M128" s="12"/>
      <c r="N128" s="12"/>
      <c r="O128" s="2" t="s">
        <v>268</v>
      </c>
    </row>
    <row r="129" s="2" customFormat="1" spans="1:15">
      <c r="A129" s="2" t="s">
        <v>267</v>
      </c>
      <c r="B129" s="2" t="s">
        <v>63</v>
      </c>
      <c r="D129" s="15">
        <v>50</v>
      </c>
      <c r="E129" s="2" t="s">
        <v>23</v>
      </c>
      <c r="F129" s="2" t="s">
        <v>21</v>
      </c>
      <c r="G129" s="8"/>
      <c r="H129" s="8"/>
      <c r="I129" s="12">
        <v>30</v>
      </c>
      <c r="J129" s="12">
        <v>0</v>
      </c>
      <c r="K129" s="12">
        <v>30</v>
      </c>
      <c r="L129" s="12">
        <v>0</v>
      </c>
      <c r="M129" s="12"/>
      <c r="N129" s="12"/>
      <c r="O129" s="2" t="s">
        <v>269</v>
      </c>
    </row>
    <row r="130" s="2" customFormat="1" spans="1:15">
      <c r="A130" s="2" t="s">
        <v>270</v>
      </c>
      <c r="B130" s="2" t="s">
        <v>21</v>
      </c>
      <c r="C130" s="2" t="s">
        <v>271</v>
      </c>
      <c r="D130" s="2">
        <v>12</v>
      </c>
      <c r="E130" s="2" t="s">
        <v>23</v>
      </c>
      <c r="F130" s="2" t="s">
        <v>21</v>
      </c>
      <c r="G130" s="2">
        <v>24.42</v>
      </c>
      <c r="H130" s="8"/>
      <c r="I130" s="12"/>
      <c r="J130" s="12"/>
      <c r="K130" s="12"/>
      <c r="L130" s="12"/>
      <c r="M130" s="12">
        <v>14.7</v>
      </c>
      <c r="N130" s="12"/>
      <c r="O130" s="2" t="s">
        <v>272</v>
      </c>
    </row>
    <row r="131" s="2" customFormat="1" spans="1:15">
      <c r="A131" s="2" t="s">
        <v>270</v>
      </c>
      <c r="B131" s="2" t="s">
        <v>21</v>
      </c>
      <c r="C131" s="2" t="s">
        <v>273</v>
      </c>
      <c r="D131" s="2">
        <v>12</v>
      </c>
      <c r="E131" s="2" t="s">
        <v>23</v>
      </c>
      <c r="F131" s="2" t="s">
        <v>21</v>
      </c>
      <c r="G131" s="2">
        <v>25.25</v>
      </c>
      <c r="H131" s="8"/>
      <c r="I131" s="12"/>
      <c r="J131" s="12"/>
      <c r="K131" s="12"/>
      <c r="L131" s="12"/>
      <c r="M131" s="12">
        <v>14.9</v>
      </c>
      <c r="N131" s="12"/>
      <c r="O131" s="2" t="s">
        <v>274</v>
      </c>
    </row>
    <row r="132" s="2" customFormat="1" spans="1:15">
      <c r="A132" s="2" t="s">
        <v>275</v>
      </c>
      <c r="B132" s="2" t="s">
        <v>21</v>
      </c>
      <c r="D132" s="2">
        <v>116</v>
      </c>
      <c r="E132" s="2" t="s">
        <v>23</v>
      </c>
      <c r="F132" s="2" t="s">
        <v>21</v>
      </c>
      <c r="G132" s="2">
        <v>32</v>
      </c>
      <c r="H132" s="2">
        <v>2.7</v>
      </c>
      <c r="I132" s="12">
        <v>116</v>
      </c>
      <c r="J132" s="12">
        <v>0</v>
      </c>
      <c r="K132" s="12">
        <v>116</v>
      </c>
      <c r="L132" s="12">
        <v>0</v>
      </c>
      <c r="M132" s="12"/>
      <c r="N132" s="12"/>
      <c r="O132" s="2" t="s">
        <v>276</v>
      </c>
    </row>
    <row r="133" s="2" customFormat="1" spans="1:15">
      <c r="A133" s="2" t="s">
        <v>275</v>
      </c>
      <c r="B133" s="2" t="s">
        <v>128</v>
      </c>
      <c r="D133" s="2">
        <v>266</v>
      </c>
      <c r="E133" s="2" t="s">
        <v>23</v>
      </c>
      <c r="F133" s="2" t="s">
        <v>21</v>
      </c>
      <c r="G133" s="2">
        <v>29</v>
      </c>
      <c r="H133" s="2">
        <v>2.29999999999999</v>
      </c>
      <c r="I133" s="12">
        <v>266</v>
      </c>
      <c r="J133" s="12">
        <v>0</v>
      </c>
      <c r="K133" s="12">
        <v>266</v>
      </c>
      <c r="L133" s="12">
        <v>0</v>
      </c>
      <c r="M133" s="12"/>
      <c r="N133" s="12"/>
      <c r="O133" s="2" t="s">
        <v>277</v>
      </c>
    </row>
    <row r="134" s="2" customFormat="1" spans="1:15">
      <c r="A134" s="2" t="s">
        <v>278</v>
      </c>
      <c r="B134" s="2" t="s">
        <v>21</v>
      </c>
      <c r="D134" s="2">
        <v>23</v>
      </c>
      <c r="E134" s="2" t="s">
        <v>23</v>
      </c>
      <c r="F134" s="2" t="s">
        <v>21</v>
      </c>
      <c r="G134" s="2">
        <v>27.78</v>
      </c>
      <c r="H134" s="2">
        <v>3.9</v>
      </c>
      <c r="I134" s="12"/>
      <c r="J134" s="12"/>
      <c r="K134" s="12">
        <v>8</v>
      </c>
      <c r="L134" s="12">
        <v>15</v>
      </c>
      <c r="M134" s="12"/>
      <c r="N134" s="12"/>
      <c r="O134" s="2" t="s">
        <v>279</v>
      </c>
    </row>
    <row r="135" s="2" customFormat="1" spans="1:15">
      <c r="A135" s="2" t="s">
        <v>280</v>
      </c>
      <c r="B135" s="2" t="s">
        <v>21</v>
      </c>
      <c r="D135" s="2">
        <v>201</v>
      </c>
      <c r="E135" s="2" t="s">
        <v>23</v>
      </c>
      <c r="F135" s="2" t="s">
        <v>21</v>
      </c>
      <c r="G135" s="2">
        <v>25.86</v>
      </c>
      <c r="H135" s="2">
        <v>5.63</v>
      </c>
      <c r="I135" s="12"/>
      <c r="J135" s="12"/>
      <c r="K135" s="12"/>
      <c r="L135" s="12"/>
      <c r="M135" s="12">
        <v>15.73</v>
      </c>
      <c r="N135" s="12">
        <v>2.51</v>
      </c>
      <c r="O135" s="2" t="s">
        <v>281</v>
      </c>
    </row>
    <row r="136" s="2" customFormat="1" spans="1:15">
      <c r="A136" s="2" t="s">
        <v>282</v>
      </c>
      <c r="B136" s="2" t="s">
        <v>21</v>
      </c>
      <c r="D136" s="2">
        <v>249</v>
      </c>
      <c r="E136" s="2" t="s">
        <v>23</v>
      </c>
      <c r="F136" s="2" t="s">
        <v>21</v>
      </c>
      <c r="G136" s="2">
        <v>32.2</v>
      </c>
      <c r="H136" s="2">
        <v>7.09</v>
      </c>
      <c r="I136" s="12">
        <v>0.957</v>
      </c>
      <c r="J136" s="12">
        <v>0.02</v>
      </c>
      <c r="K136" s="12"/>
      <c r="L136" s="12"/>
      <c r="M136" s="12"/>
      <c r="N136" s="12"/>
      <c r="O136" s="2" t="s">
        <v>283</v>
      </c>
    </row>
    <row r="137" s="2" customFormat="1" spans="1:15">
      <c r="A137" s="2" t="s">
        <v>284</v>
      </c>
      <c r="B137" s="2" t="s">
        <v>21</v>
      </c>
      <c r="D137" s="2">
        <v>676</v>
      </c>
      <c r="E137" s="2" t="s">
        <v>23</v>
      </c>
      <c r="F137" s="2" t="s">
        <v>21</v>
      </c>
      <c r="G137" s="2">
        <v>30.66</v>
      </c>
      <c r="H137" s="2">
        <v>6.88</v>
      </c>
      <c r="I137" s="12"/>
      <c r="J137" s="12"/>
      <c r="K137" s="12"/>
      <c r="L137" s="12"/>
      <c r="M137" s="12"/>
      <c r="N137" s="12"/>
      <c r="O137" s="2" t="s">
        <v>285</v>
      </c>
    </row>
    <row r="138" s="2" customFormat="1" spans="1:15">
      <c r="A138" s="2" t="s">
        <v>286</v>
      </c>
      <c r="B138" s="2" t="s">
        <v>21</v>
      </c>
      <c r="D138" s="2">
        <v>299</v>
      </c>
      <c r="E138" s="2" t="s">
        <v>23</v>
      </c>
      <c r="F138" s="2" t="s">
        <v>21</v>
      </c>
      <c r="G138" s="2">
        <v>28.01</v>
      </c>
      <c r="H138" s="2">
        <v>5.96</v>
      </c>
      <c r="I138" s="12">
        <v>278</v>
      </c>
      <c r="J138" s="12">
        <v>21</v>
      </c>
      <c r="K138" s="12"/>
      <c r="L138" s="12"/>
      <c r="M138" s="12"/>
      <c r="N138" s="12"/>
      <c r="O138" s="2" t="s">
        <v>287</v>
      </c>
    </row>
    <row r="139" s="2" customFormat="1" spans="1:15">
      <c r="A139" s="2" t="s">
        <v>288</v>
      </c>
      <c r="B139" s="2" t="s">
        <v>21</v>
      </c>
      <c r="D139" s="2">
        <v>350</v>
      </c>
      <c r="E139" s="2" t="s">
        <v>23</v>
      </c>
      <c r="F139" s="2" t="s">
        <v>21</v>
      </c>
      <c r="G139" s="8"/>
      <c r="H139" s="8"/>
      <c r="I139" s="12"/>
      <c r="J139" s="12"/>
      <c r="K139" s="12"/>
      <c r="L139" s="12"/>
      <c r="M139" s="12"/>
      <c r="N139" s="12"/>
      <c r="O139" s="2" t="s">
        <v>289</v>
      </c>
    </row>
    <row r="140" s="2" customFormat="1" spans="1:15">
      <c r="A140" s="2" t="s">
        <v>290</v>
      </c>
      <c r="B140" s="2" t="s">
        <v>21</v>
      </c>
      <c r="C140" s="2" t="s">
        <v>291</v>
      </c>
      <c r="D140" s="2">
        <v>25</v>
      </c>
      <c r="E140" s="2" t="s">
        <v>23</v>
      </c>
      <c r="F140" s="2" t="s">
        <v>21</v>
      </c>
      <c r="G140" s="8"/>
      <c r="H140" s="8"/>
      <c r="I140" s="12"/>
      <c r="J140" s="12"/>
      <c r="K140" s="12">
        <v>2</v>
      </c>
      <c r="L140" s="12">
        <v>23</v>
      </c>
      <c r="M140" s="12"/>
      <c r="N140" s="12"/>
      <c r="O140" s="2" t="s">
        <v>292</v>
      </c>
    </row>
    <row r="141" s="2" customFormat="1" spans="1:15">
      <c r="A141" s="2" t="s">
        <v>290</v>
      </c>
      <c r="B141" s="2" t="s">
        <v>21</v>
      </c>
      <c r="C141" s="2" t="s">
        <v>294</v>
      </c>
      <c r="D141" s="2">
        <v>25</v>
      </c>
      <c r="E141" s="2" t="s">
        <v>23</v>
      </c>
      <c r="F141" s="2" t="s">
        <v>21</v>
      </c>
      <c r="G141" s="8"/>
      <c r="H141" s="8"/>
      <c r="I141" s="12"/>
      <c r="J141" s="12"/>
      <c r="K141" s="12">
        <v>2</v>
      </c>
      <c r="L141" s="12">
        <v>23</v>
      </c>
      <c r="M141" s="12"/>
      <c r="N141" s="12"/>
      <c r="O141" s="2" t="s">
        <v>295</v>
      </c>
    </row>
    <row r="142" s="2" customFormat="1" spans="1:15">
      <c r="A142" s="2" t="s">
        <v>296</v>
      </c>
      <c r="B142" s="2" t="s">
        <v>21</v>
      </c>
      <c r="C142" s="2" t="s">
        <v>297</v>
      </c>
      <c r="D142" s="2">
        <v>45</v>
      </c>
      <c r="E142" s="2" t="s">
        <v>23</v>
      </c>
      <c r="F142" s="2" t="s">
        <v>21</v>
      </c>
      <c r="G142" s="2">
        <v>34.6</v>
      </c>
      <c r="H142" s="2">
        <v>6.07</v>
      </c>
      <c r="I142" s="12"/>
      <c r="J142" s="12"/>
      <c r="K142" s="12"/>
      <c r="L142" s="12"/>
      <c r="M142" s="12">
        <v>9.73</v>
      </c>
      <c r="N142" s="12">
        <v>2.27</v>
      </c>
      <c r="O142" s="2" t="s">
        <v>298</v>
      </c>
    </row>
    <row r="143" s="2" customFormat="1" spans="1:15">
      <c r="A143" s="2" t="s">
        <v>296</v>
      </c>
      <c r="B143" s="2" t="s">
        <v>21</v>
      </c>
      <c r="C143" s="2" t="s">
        <v>299</v>
      </c>
      <c r="D143" s="2">
        <v>41</v>
      </c>
      <c r="E143" s="2" t="s">
        <v>23</v>
      </c>
      <c r="F143" s="2" t="s">
        <v>21</v>
      </c>
      <c r="G143" s="2">
        <v>31.66</v>
      </c>
      <c r="H143" s="2">
        <v>5.65</v>
      </c>
      <c r="I143" s="12"/>
      <c r="J143" s="12"/>
      <c r="K143" s="12"/>
      <c r="L143" s="12"/>
      <c r="M143" s="12">
        <v>10.05</v>
      </c>
      <c r="N143" s="12">
        <v>2.73</v>
      </c>
      <c r="O143" s="2" t="s">
        <v>300</v>
      </c>
    </row>
    <row r="144" s="2" customFormat="1" spans="1:15">
      <c r="A144" s="2" t="s">
        <v>296</v>
      </c>
      <c r="B144" s="2" t="s">
        <v>21</v>
      </c>
      <c r="C144" s="2" t="s">
        <v>301</v>
      </c>
      <c r="D144" s="2">
        <v>33</v>
      </c>
      <c r="E144" s="2" t="s">
        <v>23</v>
      </c>
      <c r="F144" s="2" t="s">
        <v>21</v>
      </c>
      <c r="G144" s="2">
        <v>35.06</v>
      </c>
      <c r="H144" s="2">
        <v>12.07</v>
      </c>
      <c r="I144" s="12"/>
      <c r="J144" s="12"/>
      <c r="K144" s="12"/>
      <c r="L144" s="12"/>
      <c r="M144" s="12">
        <v>9.7</v>
      </c>
      <c r="N144" s="12">
        <v>2.14</v>
      </c>
      <c r="O144" s="2" t="s">
        <v>302</v>
      </c>
    </row>
    <row r="145" s="2" customFormat="1" spans="1:15">
      <c r="A145" s="2" t="s">
        <v>303</v>
      </c>
      <c r="B145" s="2" t="s">
        <v>21</v>
      </c>
      <c r="D145" s="2">
        <v>120</v>
      </c>
      <c r="E145" s="2" t="s">
        <v>23</v>
      </c>
      <c r="F145" s="2" t="s">
        <v>21</v>
      </c>
      <c r="G145" s="2">
        <v>28.34</v>
      </c>
      <c r="H145" s="2">
        <v>3.19</v>
      </c>
      <c r="I145" s="12">
        <v>120</v>
      </c>
      <c r="J145" s="12">
        <v>0</v>
      </c>
      <c r="K145" s="12">
        <v>120</v>
      </c>
      <c r="L145" s="12">
        <v>0</v>
      </c>
      <c r="M145" s="12"/>
      <c r="N145" s="12"/>
      <c r="O145" s="2" t="s">
        <v>304</v>
      </c>
    </row>
    <row r="146" s="2" customFormat="1" spans="1:15">
      <c r="A146" s="2" t="s">
        <v>305</v>
      </c>
      <c r="B146" s="2" t="s">
        <v>21</v>
      </c>
      <c r="D146" s="2">
        <v>141</v>
      </c>
      <c r="E146" s="2" t="s">
        <v>23</v>
      </c>
      <c r="F146" s="2" t="s">
        <v>21</v>
      </c>
      <c r="G146" s="2">
        <v>53.3</v>
      </c>
      <c r="H146" s="2">
        <v>12</v>
      </c>
      <c r="I146" s="12">
        <v>28</v>
      </c>
      <c r="J146" s="12">
        <v>113</v>
      </c>
      <c r="K146" s="12">
        <v>82</v>
      </c>
      <c r="L146" s="12">
        <v>59</v>
      </c>
      <c r="M146" s="12"/>
      <c r="N146" s="12"/>
      <c r="O146" s="2" t="s">
        <v>306</v>
      </c>
    </row>
    <row r="147" s="4" customFormat="1" spans="1:16">
      <c r="A147" s="4" t="s">
        <v>469</v>
      </c>
      <c r="B147" s="4" t="s">
        <v>21</v>
      </c>
      <c r="D147" s="4">
        <v>245</v>
      </c>
      <c r="E147" s="4" t="s">
        <v>37</v>
      </c>
      <c r="F147" s="4" t="s">
        <v>21</v>
      </c>
      <c r="G147" s="10"/>
      <c r="H147" s="10"/>
      <c r="I147" s="14">
        <v>1</v>
      </c>
      <c r="J147" s="14">
        <v>0</v>
      </c>
      <c r="K147" s="14">
        <v>1</v>
      </c>
      <c r="L147" s="14">
        <v>0</v>
      </c>
      <c r="M147" s="14"/>
      <c r="N147" s="14"/>
      <c r="O147" s="4" t="s">
        <v>470</v>
      </c>
      <c r="P147" s="4" t="s">
        <v>456</v>
      </c>
    </row>
    <row r="148" s="2" customFormat="1" spans="1:15">
      <c r="A148" s="2" t="s">
        <v>307</v>
      </c>
      <c r="B148" s="2" t="s">
        <v>21</v>
      </c>
      <c r="D148" s="2">
        <v>135</v>
      </c>
      <c r="E148" s="2" t="s">
        <v>23</v>
      </c>
      <c r="F148" s="2" t="s">
        <v>21</v>
      </c>
      <c r="G148" s="2">
        <v>46.61</v>
      </c>
      <c r="H148" s="2">
        <v>12.74</v>
      </c>
      <c r="I148" s="12">
        <v>56</v>
      </c>
      <c r="J148" s="12">
        <v>79</v>
      </c>
      <c r="K148" s="12">
        <v>88</v>
      </c>
      <c r="L148" s="12">
        <v>47</v>
      </c>
      <c r="M148" s="12"/>
      <c r="N148" s="12"/>
      <c r="O148" s="2" t="s">
        <v>308</v>
      </c>
    </row>
    <row r="149" s="4" customFormat="1" spans="1:16">
      <c r="A149" s="16">
        <v>20213067</v>
      </c>
      <c r="B149" s="4" t="s">
        <v>21</v>
      </c>
      <c r="D149" s="4">
        <v>545</v>
      </c>
      <c r="E149" s="4" t="s">
        <v>37</v>
      </c>
      <c r="F149" s="4" t="s">
        <v>21</v>
      </c>
      <c r="G149" s="10"/>
      <c r="H149" s="10"/>
      <c r="I149" s="17"/>
      <c r="J149" s="14"/>
      <c r="K149" s="14"/>
      <c r="L149" s="14"/>
      <c r="M149" s="14"/>
      <c r="N149" s="14"/>
      <c r="O149" s="4" t="s">
        <v>471</v>
      </c>
      <c r="P149" s="4" t="s">
        <v>456</v>
      </c>
    </row>
    <row r="150" s="2" customFormat="1" spans="1:15">
      <c r="A150" s="2" t="s">
        <v>310</v>
      </c>
      <c r="B150" s="2" t="s">
        <v>21</v>
      </c>
      <c r="D150" s="2">
        <v>430</v>
      </c>
      <c r="E150" s="2" t="s">
        <v>23</v>
      </c>
      <c r="F150" s="2" t="s">
        <v>21</v>
      </c>
      <c r="G150" s="2">
        <v>31</v>
      </c>
      <c r="H150" s="8"/>
      <c r="I150" s="12"/>
      <c r="J150" s="12"/>
      <c r="K150" s="12"/>
      <c r="L150" s="12"/>
      <c r="M150" s="12"/>
      <c r="N150" s="12"/>
      <c r="O150" s="2" t="s">
        <v>311</v>
      </c>
    </row>
    <row r="151" s="2" customFormat="1" spans="1:15">
      <c r="A151" s="2" t="s">
        <v>312</v>
      </c>
      <c r="B151" s="2" t="s">
        <v>21</v>
      </c>
      <c r="D151" s="2">
        <v>190</v>
      </c>
      <c r="E151" s="2" t="s">
        <v>37</v>
      </c>
      <c r="F151" s="2" t="s">
        <v>21</v>
      </c>
      <c r="G151" s="2">
        <v>28.67</v>
      </c>
      <c r="H151" s="2">
        <v>6.18</v>
      </c>
      <c r="I151" s="12">
        <v>190</v>
      </c>
      <c r="J151" s="12">
        <v>0</v>
      </c>
      <c r="K151" s="12">
        <v>190</v>
      </c>
      <c r="L151" s="12">
        <v>0</v>
      </c>
      <c r="M151" s="12"/>
      <c r="N151" s="12"/>
      <c r="O151" s="2" t="s">
        <v>313</v>
      </c>
    </row>
    <row r="152" s="2" customFormat="1" spans="1:15">
      <c r="A152" s="2" t="s">
        <v>314</v>
      </c>
      <c r="B152" s="2" t="s">
        <v>21</v>
      </c>
      <c r="D152" s="2">
        <v>62</v>
      </c>
      <c r="E152" s="2" t="s">
        <v>37</v>
      </c>
      <c r="F152" s="2" t="s">
        <v>21</v>
      </c>
      <c r="G152" s="8"/>
      <c r="H152" s="8"/>
      <c r="I152" s="12">
        <v>19</v>
      </c>
      <c r="J152" s="12">
        <v>43</v>
      </c>
      <c r="K152" s="12">
        <v>36</v>
      </c>
      <c r="L152" s="12">
        <v>26</v>
      </c>
      <c r="M152" s="12"/>
      <c r="N152" s="12"/>
      <c r="O152" s="2" t="s">
        <v>315</v>
      </c>
    </row>
    <row r="153" s="2" customFormat="1" spans="1:15">
      <c r="A153" s="2" t="s">
        <v>316</v>
      </c>
      <c r="B153" s="2" t="s">
        <v>21</v>
      </c>
      <c r="D153" s="2">
        <v>219</v>
      </c>
      <c r="E153" s="2" t="s">
        <v>23</v>
      </c>
      <c r="F153" s="2" t="s">
        <v>21</v>
      </c>
      <c r="G153" s="2">
        <v>29.06</v>
      </c>
      <c r="H153" s="8"/>
      <c r="I153" s="12">
        <v>0.8493</v>
      </c>
      <c r="J153" s="12">
        <v>0.1187</v>
      </c>
      <c r="K153" s="12"/>
      <c r="L153" s="12"/>
      <c r="M153" s="12"/>
      <c r="N153" s="12"/>
      <c r="O153" s="2" t="s">
        <v>317</v>
      </c>
    </row>
    <row r="154" s="2" customFormat="1" spans="1:15">
      <c r="A154" s="2" t="s">
        <v>318</v>
      </c>
      <c r="B154" s="2" t="s">
        <v>21</v>
      </c>
      <c r="C154" s="2" t="s">
        <v>319</v>
      </c>
      <c r="D154" s="2">
        <v>24</v>
      </c>
      <c r="E154" s="2" t="s">
        <v>23</v>
      </c>
      <c r="F154" s="2" t="s">
        <v>21</v>
      </c>
      <c r="G154" s="2">
        <v>31.46</v>
      </c>
      <c r="H154" s="2">
        <v>13.47</v>
      </c>
      <c r="I154" s="12"/>
      <c r="J154" s="12"/>
      <c r="K154" s="12"/>
      <c r="L154" s="12"/>
      <c r="M154" s="12">
        <v>12.96</v>
      </c>
      <c r="N154" s="12">
        <v>2.84</v>
      </c>
      <c r="O154" s="2" t="s">
        <v>320</v>
      </c>
    </row>
    <row r="155" s="2" customFormat="1" spans="1:15">
      <c r="A155" s="2" t="s">
        <v>318</v>
      </c>
      <c r="B155" s="2" t="s">
        <v>21</v>
      </c>
      <c r="C155" s="2" t="s">
        <v>321</v>
      </c>
      <c r="D155" s="2">
        <v>24</v>
      </c>
      <c r="E155" s="2" t="s">
        <v>23</v>
      </c>
      <c r="F155" s="2" t="s">
        <v>21</v>
      </c>
      <c r="G155" s="2">
        <v>31.88</v>
      </c>
      <c r="H155" s="2">
        <v>11.96</v>
      </c>
      <c r="I155" s="12"/>
      <c r="J155" s="12"/>
      <c r="K155" s="12"/>
      <c r="L155" s="12"/>
      <c r="M155" s="12">
        <v>12.71</v>
      </c>
      <c r="N155" s="12">
        <v>2.54</v>
      </c>
      <c r="O155" s="2" t="s">
        <v>322</v>
      </c>
    </row>
    <row r="156" s="2" customFormat="1" spans="1:15">
      <c r="A156" s="2" t="s">
        <v>323</v>
      </c>
      <c r="B156" s="2" t="s">
        <v>21</v>
      </c>
      <c r="C156" s="2" t="s">
        <v>324</v>
      </c>
      <c r="D156" s="2">
        <v>28</v>
      </c>
      <c r="E156" s="2" t="s">
        <v>23</v>
      </c>
      <c r="F156" s="2" t="s">
        <v>21</v>
      </c>
      <c r="G156" s="2">
        <v>23.18</v>
      </c>
      <c r="H156" s="2">
        <v>2.07</v>
      </c>
      <c r="I156" s="12">
        <v>2</v>
      </c>
      <c r="J156" s="12">
        <v>26</v>
      </c>
      <c r="K156" s="12">
        <v>15</v>
      </c>
      <c r="L156" s="12">
        <v>13</v>
      </c>
      <c r="M156" s="12"/>
      <c r="N156" s="12"/>
      <c r="O156" s="2" t="s">
        <v>325</v>
      </c>
    </row>
    <row r="157" s="2" customFormat="1" spans="1:15">
      <c r="A157" s="2" t="s">
        <v>323</v>
      </c>
      <c r="B157" s="2" t="s">
        <v>21</v>
      </c>
      <c r="C157" s="2" t="s">
        <v>89</v>
      </c>
      <c r="D157" s="2">
        <v>33</v>
      </c>
      <c r="E157" s="2" t="s">
        <v>23</v>
      </c>
      <c r="F157" s="2" t="s">
        <v>21</v>
      </c>
      <c r="G157" s="2">
        <v>23.44</v>
      </c>
      <c r="H157" s="2">
        <v>2.1</v>
      </c>
      <c r="I157" s="12">
        <v>2</v>
      </c>
      <c r="J157" s="12">
        <v>31</v>
      </c>
      <c r="K157" s="12">
        <v>15</v>
      </c>
      <c r="L157" s="12">
        <v>18</v>
      </c>
      <c r="M157" s="12"/>
      <c r="N157" s="12"/>
      <c r="O157" s="2" t="s">
        <v>326</v>
      </c>
    </row>
    <row r="158" s="2" customFormat="1" spans="1:15">
      <c r="A158" s="2" t="s">
        <v>327</v>
      </c>
      <c r="B158" s="2" t="s">
        <v>21</v>
      </c>
      <c r="D158" s="2">
        <v>76</v>
      </c>
      <c r="E158" s="2" t="s">
        <v>37</v>
      </c>
      <c r="F158" s="2" t="s">
        <v>21</v>
      </c>
      <c r="G158" s="8"/>
      <c r="H158" s="8"/>
      <c r="I158" s="12">
        <v>3</v>
      </c>
      <c r="J158" s="12">
        <v>73</v>
      </c>
      <c r="K158" s="12">
        <v>61</v>
      </c>
      <c r="L158" s="12">
        <v>15</v>
      </c>
      <c r="M158" s="12"/>
      <c r="N158" s="12"/>
      <c r="O158" s="2" t="s">
        <v>328</v>
      </c>
    </row>
    <row r="159" s="2" customFormat="1" spans="1:15">
      <c r="A159" s="2" t="s">
        <v>329</v>
      </c>
      <c r="B159" s="2" t="s">
        <v>21</v>
      </c>
      <c r="C159" s="2" t="s">
        <v>330</v>
      </c>
      <c r="D159" s="2">
        <v>46</v>
      </c>
      <c r="E159" s="2" t="s">
        <v>37</v>
      </c>
      <c r="F159" s="2" t="s">
        <v>21</v>
      </c>
      <c r="G159" s="2">
        <v>30.44</v>
      </c>
      <c r="H159" s="2">
        <v>3.75</v>
      </c>
      <c r="I159" s="12">
        <v>0.5</v>
      </c>
      <c r="J159" s="12">
        <v>0.5</v>
      </c>
      <c r="K159" s="12">
        <v>0.826</v>
      </c>
      <c r="L159" s="12">
        <f t="shared" ref="L159:L160" si="0">1-K159</f>
        <v>0.174</v>
      </c>
      <c r="M159" s="12"/>
      <c r="N159" s="12"/>
      <c r="O159" s="2" t="s">
        <v>331</v>
      </c>
    </row>
    <row r="160" s="2" customFormat="1" spans="1:15">
      <c r="A160" s="2" t="s">
        <v>329</v>
      </c>
      <c r="B160" s="2" t="s">
        <v>21</v>
      </c>
      <c r="C160" s="2" t="s">
        <v>332</v>
      </c>
      <c r="D160" s="2">
        <v>76</v>
      </c>
      <c r="E160" s="2" t="s">
        <v>37</v>
      </c>
      <c r="F160" s="2" t="s">
        <v>21</v>
      </c>
      <c r="G160" s="2">
        <v>38.24</v>
      </c>
      <c r="H160" s="2">
        <v>1.12</v>
      </c>
      <c r="I160" s="12">
        <v>0.934</v>
      </c>
      <c r="J160" s="12">
        <f>1-I160</f>
        <v>0.0659999999999999</v>
      </c>
      <c r="K160" s="12">
        <v>0.9868</v>
      </c>
      <c r="L160" s="12">
        <f t="shared" si="0"/>
        <v>0.0132</v>
      </c>
      <c r="M160" s="12"/>
      <c r="N160" s="12"/>
      <c r="O160" s="2" t="s">
        <v>331</v>
      </c>
    </row>
    <row r="161" s="2" customFormat="1" spans="1:15">
      <c r="A161" s="2" t="s">
        <v>333</v>
      </c>
      <c r="B161" s="2" t="s">
        <v>21</v>
      </c>
      <c r="D161" s="2">
        <v>352</v>
      </c>
      <c r="E161" s="2" t="s">
        <v>23</v>
      </c>
      <c r="F161" s="2" t="s">
        <v>21</v>
      </c>
      <c r="G161" s="2">
        <v>66.88</v>
      </c>
      <c r="H161" s="2">
        <v>4.95</v>
      </c>
      <c r="I161" s="12">
        <v>133</v>
      </c>
      <c r="J161" s="12">
        <v>219</v>
      </c>
      <c r="K161" s="12">
        <v>220</v>
      </c>
      <c r="L161" s="12">
        <v>123</v>
      </c>
      <c r="M161" s="12"/>
      <c r="N161" s="12"/>
      <c r="O161" s="2" t="s">
        <v>334</v>
      </c>
    </row>
    <row r="162" s="2" customFormat="1" spans="1:15">
      <c r="A162" s="2" t="s">
        <v>335</v>
      </c>
      <c r="B162" s="2" t="s">
        <v>21</v>
      </c>
      <c r="C162" s="2" t="s">
        <v>336</v>
      </c>
      <c r="D162" s="2">
        <v>195</v>
      </c>
      <c r="E162" s="2" t="s">
        <v>23</v>
      </c>
      <c r="F162" s="2" t="s">
        <v>21</v>
      </c>
      <c r="G162" s="2">
        <v>36.14</v>
      </c>
      <c r="H162" s="2">
        <v>6.62</v>
      </c>
      <c r="I162" s="12"/>
      <c r="J162" s="12"/>
      <c r="K162" s="12"/>
      <c r="L162" s="12"/>
      <c r="M162" s="12"/>
      <c r="N162" s="12"/>
      <c r="O162" s="2" t="s">
        <v>337</v>
      </c>
    </row>
    <row r="163" s="2" customFormat="1" spans="1:15">
      <c r="A163" s="2" t="s">
        <v>335</v>
      </c>
      <c r="B163" s="2" t="s">
        <v>21</v>
      </c>
      <c r="C163" s="2" t="s">
        <v>338</v>
      </c>
      <c r="D163" s="2">
        <v>251</v>
      </c>
      <c r="E163" s="2" t="s">
        <v>23</v>
      </c>
      <c r="F163" s="2" t="s">
        <v>21</v>
      </c>
      <c r="G163" s="2">
        <v>34.81</v>
      </c>
      <c r="H163" s="2">
        <v>8.49</v>
      </c>
      <c r="I163" s="12"/>
      <c r="J163" s="12"/>
      <c r="K163" s="12"/>
      <c r="L163" s="12"/>
      <c r="M163" s="12"/>
      <c r="N163" s="12"/>
      <c r="O163" s="2" t="s">
        <v>339</v>
      </c>
    </row>
    <row r="164" s="2" customFormat="1" spans="1:15">
      <c r="A164" s="2" t="s">
        <v>340</v>
      </c>
      <c r="B164" s="2" t="s">
        <v>21</v>
      </c>
      <c r="C164" s="2" t="s">
        <v>341</v>
      </c>
      <c r="D164" s="2">
        <v>256</v>
      </c>
      <c r="E164" s="2" t="s">
        <v>23</v>
      </c>
      <c r="F164" s="2" t="s">
        <v>21</v>
      </c>
      <c r="G164" s="2">
        <v>35.89</v>
      </c>
      <c r="H164" s="8"/>
      <c r="I164" s="12">
        <v>256</v>
      </c>
      <c r="J164" s="12">
        <v>0</v>
      </c>
      <c r="K164" s="12">
        <v>256</v>
      </c>
      <c r="L164" s="12">
        <v>0</v>
      </c>
      <c r="M164" s="12"/>
      <c r="N164" s="12"/>
      <c r="O164" s="2" t="s">
        <v>342</v>
      </c>
    </row>
    <row r="165" s="2" customFormat="1" spans="1:15">
      <c r="A165" s="2" t="s">
        <v>340</v>
      </c>
      <c r="B165" s="2" t="s">
        <v>21</v>
      </c>
      <c r="C165" s="2" t="s">
        <v>343</v>
      </c>
      <c r="D165" s="2">
        <v>60</v>
      </c>
      <c r="E165" s="2" t="s">
        <v>23</v>
      </c>
      <c r="F165" s="2" t="s">
        <v>21</v>
      </c>
      <c r="G165" s="2">
        <v>40.87</v>
      </c>
      <c r="H165" s="8"/>
      <c r="I165" s="12">
        <v>60</v>
      </c>
      <c r="J165" s="12">
        <v>0</v>
      </c>
      <c r="K165" s="12">
        <v>60</v>
      </c>
      <c r="L165" s="12">
        <v>0</v>
      </c>
      <c r="M165" s="12"/>
      <c r="N165" s="12"/>
      <c r="O165" s="2" t="s">
        <v>342</v>
      </c>
    </row>
    <row r="166" s="2" customFormat="1" spans="1:15">
      <c r="A166" s="2" t="s">
        <v>344</v>
      </c>
      <c r="B166" s="2" t="s">
        <v>21</v>
      </c>
      <c r="C166" s="2" t="s">
        <v>341</v>
      </c>
      <c r="D166" s="2">
        <v>200</v>
      </c>
      <c r="E166" s="2" t="s">
        <v>23</v>
      </c>
      <c r="F166" s="2" t="s">
        <v>21</v>
      </c>
      <c r="G166" s="2">
        <v>30.41</v>
      </c>
      <c r="H166" s="8"/>
      <c r="I166" s="12"/>
      <c r="J166" s="12"/>
      <c r="K166" s="12"/>
      <c r="L166" s="12"/>
      <c r="M166" s="12"/>
      <c r="N166" s="12"/>
      <c r="O166" s="2" t="s">
        <v>345</v>
      </c>
    </row>
    <row r="167" s="2" customFormat="1" spans="1:15">
      <c r="A167" s="2" t="s">
        <v>344</v>
      </c>
      <c r="B167" s="2" t="s">
        <v>21</v>
      </c>
      <c r="C167" s="2" t="s">
        <v>346</v>
      </c>
      <c r="D167" s="2">
        <v>47</v>
      </c>
      <c r="E167" s="2" t="s">
        <v>23</v>
      </c>
      <c r="F167" s="2" t="s">
        <v>21</v>
      </c>
      <c r="G167" s="2">
        <v>37.86</v>
      </c>
      <c r="H167" s="8"/>
      <c r="I167" s="12"/>
      <c r="J167" s="12"/>
      <c r="K167" s="12"/>
      <c r="L167" s="12"/>
      <c r="M167" s="12"/>
      <c r="N167" s="12"/>
      <c r="O167" s="2" t="s">
        <v>347</v>
      </c>
    </row>
    <row r="168" s="2" customFormat="1" spans="1:15">
      <c r="A168" s="2" t="s">
        <v>348</v>
      </c>
      <c r="B168" s="2" t="s">
        <v>21</v>
      </c>
      <c r="C168" s="2" t="s">
        <v>349</v>
      </c>
      <c r="D168" s="2">
        <v>132</v>
      </c>
      <c r="E168" s="2" t="s">
        <v>23</v>
      </c>
      <c r="F168" s="2" t="s">
        <v>21</v>
      </c>
      <c r="G168" s="2">
        <v>31.12</v>
      </c>
      <c r="H168" s="2">
        <v>5.88</v>
      </c>
      <c r="I168" s="12"/>
      <c r="J168" s="12"/>
      <c r="K168" s="12"/>
      <c r="L168" s="12"/>
      <c r="M168" s="12"/>
      <c r="N168" s="12"/>
      <c r="O168" s="2" t="s">
        <v>350</v>
      </c>
    </row>
    <row r="169" s="2" customFormat="1" spans="1:15">
      <c r="A169" s="2" t="s">
        <v>348</v>
      </c>
      <c r="B169" s="2" t="s">
        <v>21</v>
      </c>
      <c r="C169" s="2" t="s">
        <v>120</v>
      </c>
      <c r="D169" s="2">
        <v>132</v>
      </c>
      <c r="E169" s="2" t="s">
        <v>23</v>
      </c>
      <c r="F169" s="2" t="s">
        <v>21</v>
      </c>
      <c r="G169" s="2">
        <v>26.01</v>
      </c>
      <c r="H169" s="2">
        <v>3.12</v>
      </c>
      <c r="I169" s="12"/>
      <c r="J169" s="12"/>
      <c r="K169" s="12"/>
      <c r="L169" s="12"/>
      <c r="M169" s="12"/>
      <c r="N169" s="12"/>
      <c r="O169" s="2" t="s">
        <v>350</v>
      </c>
    </row>
    <row r="170" s="2" customFormat="1" spans="1:15">
      <c r="A170" s="2" t="s">
        <v>351</v>
      </c>
      <c r="B170" s="2" t="s">
        <v>21</v>
      </c>
      <c r="C170" s="2" t="s">
        <v>349</v>
      </c>
      <c r="D170" s="2">
        <v>72</v>
      </c>
      <c r="E170" s="2" t="s">
        <v>23</v>
      </c>
      <c r="F170" s="2" t="s">
        <v>21</v>
      </c>
      <c r="G170" s="8"/>
      <c r="H170" s="8"/>
      <c r="I170" s="12"/>
      <c r="J170" s="12"/>
      <c r="K170" s="12"/>
      <c r="L170" s="12"/>
      <c r="M170" s="12"/>
      <c r="N170" s="12"/>
      <c r="O170" s="2" t="s">
        <v>352</v>
      </c>
    </row>
    <row r="171" s="2" customFormat="1" spans="1:15">
      <c r="A171" s="2" t="s">
        <v>351</v>
      </c>
      <c r="B171" s="2" t="s">
        <v>21</v>
      </c>
      <c r="C171" s="2" t="s">
        <v>120</v>
      </c>
      <c r="D171" s="2">
        <v>257</v>
      </c>
      <c r="E171" s="2" t="s">
        <v>23</v>
      </c>
      <c r="F171" s="2" t="s">
        <v>21</v>
      </c>
      <c r="G171" s="8"/>
      <c r="H171" s="8"/>
      <c r="I171" s="12"/>
      <c r="J171" s="12"/>
      <c r="K171" s="12"/>
      <c r="L171" s="12"/>
      <c r="M171" s="12"/>
      <c r="N171" s="12"/>
      <c r="O171" s="2" t="s">
        <v>352</v>
      </c>
    </row>
    <row r="172" s="2" customFormat="1" spans="1:15">
      <c r="A172" s="2" t="s">
        <v>353</v>
      </c>
      <c r="B172" s="2" t="s">
        <v>21</v>
      </c>
      <c r="D172" s="2">
        <v>822</v>
      </c>
      <c r="E172" s="2" t="s">
        <v>23</v>
      </c>
      <c r="F172" s="2" t="s">
        <v>21</v>
      </c>
      <c r="G172" s="8"/>
      <c r="H172" s="8"/>
      <c r="I172" s="12">
        <v>822</v>
      </c>
      <c r="J172" s="12">
        <v>0</v>
      </c>
      <c r="K172" s="12">
        <v>822</v>
      </c>
      <c r="L172" s="12">
        <v>0</v>
      </c>
      <c r="M172" s="12"/>
      <c r="N172" s="12"/>
      <c r="O172" s="2" t="s">
        <v>354</v>
      </c>
    </row>
    <row r="173" s="2" customFormat="1" spans="1:15">
      <c r="A173" s="2" t="s">
        <v>355</v>
      </c>
      <c r="B173" s="2" t="s">
        <v>21</v>
      </c>
      <c r="C173" s="2" t="s">
        <v>122</v>
      </c>
      <c r="D173" s="2">
        <v>68</v>
      </c>
      <c r="E173" s="2" t="s">
        <v>23</v>
      </c>
      <c r="F173" s="2" t="s">
        <v>21</v>
      </c>
      <c r="G173" s="8"/>
      <c r="H173" s="8"/>
      <c r="I173" s="12">
        <v>0.703</v>
      </c>
      <c r="J173" s="12">
        <f>1-I173</f>
        <v>0.297</v>
      </c>
      <c r="K173" s="12"/>
      <c r="L173" s="12"/>
      <c r="M173" s="12"/>
      <c r="N173" s="12"/>
      <c r="O173" s="2" t="s">
        <v>356</v>
      </c>
    </row>
    <row r="174" s="2" customFormat="1" spans="1:15">
      <c r="A174" s="2" t="s">
        <v>355</v>
      </c>
      <c r="B174" s="2" t="s">
        <v>21</v>
      </c>
      <c r="C174" s="2" t="s">
        <v>341</v>
      </c>
      <c r="D174" s="2">
        <v>215</v>
      </c>
      <c r="E174" s="2" t="s">
        <v>23</v>
      </c>
      <c r="F174" s="2" t="s">
        <v>21</v>
      </c>
      <c r="G174" s="8"/>
      <c r="H174" s="8"/>
      <c r="I174" s="12">
        <v>0.692</v>
      </c>
      <c r="J174" s="12">
        <f>1-I174</f>
        <v>0.308</v>
      </c>
      <c r="K174" s="12"/>
      <c r="L174" s="12"/>
      <c r="M174" s="12"/>
      <c r="N174" s="12"/>
      <c r="O174" s="2" t="s">
        <v>357</v>
      </c>
    </row>
    <row r="175" s="2" customFormat="1" spans="1:15">
      <c r="A175" s="2" t="s">
        <v>358</v>
      </c>
      <c r="B175" s="2" t="s">
        <v>21</v>
      </c>
      <c r="D175" s="2">
        <v>265</v>
      </c>
      <c r="E175" s="2" t="s">
        <v>23</v>
      </c>
      <c r="F175" s="2" t="s">
        <v>21</v>
      </c>
      <c r="G175" s="2">
        <v>34.92</v>
      </c>
      <c r="H175" s="2">
        <v>9.55</v>
      </c>
      <c r="I175" s="12">
        <v>0.1056</v>
      </c>
      <c r="J175" s="12">
        <v>0.8942</v>
      </c>
      <c r="K175" s="12">
        <v>0.4565</v>
      </c>
      <c r="L175" s="12">
        <v>0.5433</v>
      </c>
      <c r="M175" s="12"/>
      <c r="N175" s="12"/>
      <c r="O175" s="2" t="s">
        <v>359</v>
      </c>
    </row>
    <row r="176" s="2" customFormat="1" spans="1:15">
      <c r="A176" s="2" t="s">
        <v>360</v>
      </c>
      <c r="B176" s="2" t="s">
        <v>21</v>
      </c>
      <c r="D176" s="2">
        <v>788</v>
      </c>
      <c r="E176" s="2" t="s">
        <v>23</v>
      </c>
      <c r="F176" s="2" t="s">
        <v>21</v>
      </c>
      <c r="G176" s="2">
        <v>25.49</v>
      </c>
      <c r="H176" s="2">
        <v>2.34</v>
      </c>
      <c r="I176" s="12"/>
      <c r="J176" s="12"/>
      <c r="K176" s="12"/>
      <c r="L176" s="12"/>
      <c r="M176" s="12">
        <v>15.12</v>
      </c>
      <c r="N176" s="12">
        <v>1.54</v>
      </c>
      <c r="O176" s="2" t="s">
        <v>361</v>
      </c>
    </row>
    <row r="177" s="2" customFormat="1" spans="1:15">
      <c r="A177" s="2" t="s">
        <v>362</v>
      </c>
      <c r="B177" s="2" t="s">
        <v>21</v>
      </c>
      <c r="D177" s="2">
        <v>65</v>
      </c>
      <c r="E177" s="2" t="s">
        <v>23</v>
      </c>
      <c r="F177" s="2" t="s">
        <v>21</v>
      </c>
      <c r="G177" s="2">
        <v>37.97</v>
      </c>
      <c r="H177" s="8"/>
      <c r="I177" s="12"/>
      <c r="J177" s="12"/>
      <c r="K177" s="12"/>
      <c r="L177" s="12"/>
      <c r="M177" s="12"/>
      <c r="N177" s="12"/>
      <c r="O177" s="2" t="s">
        <v>363</v>
      </c>
    </row>
    <row r="178" s="2" customFormat="1" spans="1:15">
      <c r="A178" s="2" t="s">
        <v>364</v>
      </c>
      <c r="B178" s="2" t="s">
        <v>21</v>
      </c>
      <c r="C178" s="2" t="s">
        <v>365</v>
      </c>
      <c r="D178" s="2">
        <v>25</v>
      </c>
      <c r="E178" s="2" t="s">
        <v>37</v>
      </c>
      <c r="F178" s="2" t="s">
        <v>21</v>
      </c>
      <c r="G178" s="2">
        <v>24.71</v>
      </c>
      <c r="H178" s="2">
        <v>4.61</v>
      </c>
      <c r="I178" s="12"/>
      <c r="J178" s="12"/>
      <c r="K178" s="12"/>
      <c r="L178" s="12"/>
      <c r="M178" s="12">
        <v>13.67</v>
      </c>
      <c r="N178" s="12">
        <v>2.9</v>
      </c>
      <c r="O178" s="2" t="s">
        <v>366</v>
      </c>
    </row>
    <row r="179" s="2" customFormat="1" spans="1:15">
      <c r="A179" s="2" t="s">
        <v>364</v>
      </c>
      <c r="B179" s="2" t="s">
        <v>21</v>
      </c>
      <c r="C179" s="2" t="s">
        <v>105</v>
      </c>
      <c r="D179" s="2">
        <v>31</v>
      </c>
      <c r="E179" s="2" t="s">
        <v>37</v>
      </c>
      <c r="F179" s="2" t="s">
        <v>21</v>
      </c>
      <c r="G179" s="2">
        <v>20.66</v>
      </c>
      <c r="H179" s="2">
        <v>3.14</v>
      </c>
      <c r="I179" s="12"/>
      <c r="J179" s="12"/>
      <c r="K179" s="12"/>
      <c r="L179" s="12"/>
      <c r="M179" s="12">
        <v>13.1</v>
      </c>
      <c r="N179" s="12">
        <v>1.63</v>
      </c>
      <c r="O179" s="2" t="s">
        <v>367</v>
      </c>
    </row>
    <row r="180" s="2" customFormat="1" spans="1:15">
      <c r="A180" s="2" t="s">
        <v>368</v>
      </c>
      <c r="B180" s="2" t="s">
        <v>21</v>
      </c>
      <c r="D180" s="2">
        <v>358</v>
      </c>
      <c r="E180" s="2" t="s">
        <v>37</v>
      </c>
      <c r="F180" s="2" t="s">
        <v>21</v>
      </c>
      <c r="G180" s="8"/>
      <c r="H180" s="8"/>
      <c r="I180" s="12">
        <v>7</v>
      </c>
      <c r="J180" s="12">
        <v>351</v>
      </c>
      <c r="K180" s="12">
        <v>276</v>
      </c>
      <c r="L180" s="12">
        <v>82</v>
      </c>
      <c r="M180" s="12"/>
      <c r="N180" s="12"/>
      <c r="O180" s="2" t="s">
        <v>369</v>
      </c>
    </row>
    <row r="181" s="2" customFormat="1" spans="1:15">
      <c r="A181" s="2" t="s">
        <v>370</v>
      </c>
      <c r="B181" s="2" t="s">
        <v>21</v>
      </c>
      <c r="C181" s="2" t="s">
        <v>25</v>
      </c>
      <c r="D181" s="2">
        <v>377</v>
      </c>
      <c r="E181" s="2" t="s">
        <v>23</v>
      </c>
      <c r="F181" s="2" t="s">
        <v>21</v>
      </c>
      <c r="G181" s="2">
        <v>35.91</v>
      </c>
      <c r="H181" s="2">
        <v>10.09</v>
      </c>
      <c r="I181" s="12"/>
      <c r="J181" s="12"/>
      <c r="K181" s="12"/>
      <c r="L181" s="12"/>
      <c r="M181" s="12"/>
      <c r="N181" s="12"/>
      <c r="O181" s="2" t="s">
        <v>371</v>
      </c>
    </row>
    <row r="182" s="2" customFormat="1" spans="1:15">
      <c r="A182" s="2" t="s">
        <v>370</v>
      </c>
      <c r="B182" s="2" t="s">
        <v>21</v>
      </c>
      <c r="C182" s="2" t="s">
        <v>22</v>
      </c>
      <c r="D182" s="2">
        <v>644</v>
      </c>
      <c r="E182" s="2" t="s">
        <v>23</v>
      </c>
      <c r="F182" s="2" t="s">
        <v>21</v>
      </c>
      <c r="G182" s="2">
        <v>34.52</v>
      </c>
      <c r="H182" s="2">
        <v>7.58</v>
      </c>
      <c r="I182" s="12"/>
      <c r="J182" s="12"/>
      <c r="K182" s="12"/>
      <c r="L182" s="12"/>
      <c r="M182" s="12"/>
      <c r="N182" s="12"/>
      <c r="O182" s="2" t="s">
        <v>371</v>
      </c>
    </row>
    <row r="183" s="2" customFormat="1" spans="1:15">
      <c r="A183" s="2" t="s">
        <v>372</v>
      </c>
      <c r="B183" s="2" t="s">
        <v>21</v>
      </c>
      <c r="C183" s="2" t="s">
        <v>22</v>
      </c>
      <c r="D183" s="2">
        <v>1708</v>
      </c>
      <c r="E183" s="2" t="s">
        <v>23</v>
      </c>
      <c r="F183" s="2" t="s">
        <v>21</v>
      </c>
      <c r="G183" s="2">
        <v>39.17</v>
      </c>
      <c r="H183" s="2">
        <v>2.47</v>
      </c>
      <c r="I183" s="12">
        <v>0.616</v>
      </c>
      <c r="J183" s="12">
        <v>0.372</v>
      </c>
      <c r="K183" s="12"/>
      <c r="L183" s="12"/>
      <c r="M183" s="12"/>
      <c r="N183" s="12"/>
      <c r="O183" s="2" t="s">
        <v>373</v>
      </c>
    </row>
    <row r="184" s="2" customFormat="1" spans="1:15">
      <c r="A184" s="2" t="s">
        <v>374</v>
      </c>
      <c r="B184" s="2" t="s">
        <v>21</v>
      </c>
      <c r="D184" s="2">
        <v>176</v>
      </c>
      <c r="E184" s="2" t="s">
        <v>23</v>
      </c>
      <c r="F184" s="2" t="s">
        <v>21</v>
      </c>
      <c r="G184" s="8"/>
      <c r="H184" s="8"/>
      <c r="I184" s="12">
        <v>163</v>
      </c>
      <c r="J184" s="12">
        <v>13</v>
      </c>
      <c r="K184" s="12">
        <v>176</v>
      </c>
      <c r="L184" s="12">
        <v>0</v>
      </c>
      <c r="M184" s="12"/>
      <c r="N184" s="12"/>
      <c r="O184" s="2" t="s">
        <v>375</v>
      </c>
    </row>
    <row r="185" s="2" customFormat="1" spans="1:15">
      <c r="A185" s="2" t="s">
        <v>376</v>
      </c>
      <c r="B185" s="2" t="s">
        <v>21</v>
      </c>
      <c r="D185" s="2">
        <v>537</v>
      </c>
      <c r="E185" s="2" t="s">
        <v>23</v>
      </c>
      <c r="F185" s="2" t="s">
        <v>21</v>
      </c>
      <c r="G185" s="2">
        <v>35.02</v>
      </c>
      <c r="H185" s="2">
        <v>4.48</v>
      </c>
      <c r="I185" s="12"/>
      <c r="J185" s="12"/>
      <c r="K185" s="12"/>
      <c r="L185" s="12"/>
      <c r="M185" s="12"/>
      <c r="N185" s="12"/>
      <c r="O185" s="2" t="s">
        <v>377</v>
      </c>
    </row>
    <row r="186" s="2" customFormat="1" spans="1:15">
      <c r="A186" s="2" t="s">
        <v>378</v>
      </c>
      <c r="B186" s="2" t="s">
        <v>21</v>
      </c>
      <c r="C186" s="2" t="s">
        <v>379</v>
      </c>
      <c r="D186" s="2">
        <v>129</v>
      </c>
      <c r="E186" s="2" t="s">
        <v>23</v>
      </c>
      <c r="F186" s="2" t="s">
        <v>21</v>
      </c>
      <c r="G186" s="2">
        <v>22.35</v>
      </c>
      <c r="H186" s="2">
        <v>5.68</v>
      </c>
      <c r="I186" s="12"/>
      <c r="J186" s="12"/>
      <c r="K186" s="12"/>
      <c r="L186" s="12"/>
      <c r="M186" s="12"/>
      <c r="N186" s="12"/>
      <c r="O186" s="2" t="s">
        <v>380</v>
      </c>
    </row>
    <row r="187" s="2" customFormat="1" spans="1:15">
      <c r="A187" s="2" t="s">
        <v>378</v>
      </c>
      <c r="B187" s="2" t="s">
        <v>21</v>
      </c>
      <c r="C187" s="2" t="s">
        <v>381</v>
      </c>
      <c r="D187" s="2">
        <v>235</v>
      </c>
      <c r="E187" s="2" t="s">
        <v>23</v>
      </c>
      <c r="F187" s="2" t="s">
        <v>21</v>
      </c>
      <c r="G187" s="2">
        <v>22.62</v>
      </c>
      <c r="H187" s="2">
        <v>7.12</v>
      </c>
      <c r="I187" s="12"/>
      <c r="J187" s="12"/>
      <c r="K187" s="12"/>
      <c r="L187" s="12"/>
      <c r="M187" s="12"/>
      <c r="N187" s="12"/>
      <c r="O187" s="2" t="s">
        <v>380</v>
      </c>
    </row>
    <row r="188" s="2" customFormat="1" spans="1:15">
      <c r="A188" s="2" t="s">
        <v>378</v>
      </c>
      <c r="B188" s="2" t="s">
        <v>21</v>
      </c>
      <c r="C188" s="2" t="s">
        <v>382</v>
      </c>
      <c r="D188" s="2">
        <v>1064</v>
      </c>
      <c r="E188" s="2" t="s">
        <v>23</v>
      </c>
      <c r="F188" s="2" t="s">
        <v>21</v>
      </c>
      <c r="G188" s="2">
        <v>19.05</v>
      </c>
      <c r="H188" s="2">
        <v>3.94</v>
      </c>
      <c r="I188" s="12"/>
      <c r="J188" s="12"/>
      <c r="K188" s="12"/>
      <c r="L188" s="12"/>
      <c r="M188" s="12"/>
      <c r="N188" s="12"/>
      <c r="O188" s="2" t="s">
        <v>380</v>
      </c>
    </row>
    <row r="189" s="2" customFormat="1" spans="1:15">
      <c r="A189" s="2" t="s">
        <v>378</v>
      </c>
      <c r="B189" s="2" t="s">
        <v>21</v>
      </c>
      <c r="C189" s="2" t="s">
        <v>383</v>
      </c>
      <c r="D189" s="2">
        <v>1167</v>
      </c>
      <c r="E189" s="2" t="s">
        <v>23</v>
      </c>
      <c r="F189" s="2" t="s">
        <v>21</v>
      </c>
      <c r="G189" s="2">
        <v>19.5</v>
      </c>
      <c r="H189" s="2">
        <v>4.17</v>
      </c>
      <c r="I189" s="12"/>
      <c r="J189" s="12"/>
      <c r="K189" s="12"/>
      <c r="L189" s="12"/>
      <c r="M189" s="12"/>
      <c r="N189" s="12"/>
      <c r="O189" s="2" t="s">
        <v>380</v>
      </c>
    </row>
    <row r="190" s="2" customFormat="1" spans="1:15">
      <c r="A190" s="2" t="s">
        <v>384</v>
      </c>
      <c r="B190" s="2" t="s">
        <v>21</v>
      </c>
      <c r="D190" s="2">
        <v>72</v>
      </c>
      <c r="E190" s="2" t="s">
        <v>23</v>
      </c>
      <c r="F190" s="2" t="s">
        <v>21</v>
      </c>
      <c r="G190" s="2">
        <v>32.11</v>
      </c>
      <c r="H190" s="2">
        <v>5.94</v>
      </c>
      <c r="I190" s="12">
        <v>72</v>
      </c>
      <c r="J190" s="12">
        <v>0</v>
      </c>
      <c r="K190" s="12">
        <v>72</v>
      </c>
      <c r="L190" s="12">
        <v>0</v>
      </c>
      <c r="M190" s="12"/>
      <c r="N190" s="12"/>
      <c r="O190" s="2" t="s">
        <v>385</v>
      </c>
    </row>
    <row r="191" s="2" customFormat="1" spans="1:15">
      <c r="A191" s="2" t="s">
        <v>384</v>
      </c>
      <c r="B191" s="2" t="s">
        <v>128</v>
      </c>
      <c r="D191" s="2">
        <v>151</v>
      </c>
      <c r="E191" s="2" t="s">
        <v>23</v>
      </c>
      <c r="F191" s="2" t="s">
        <v>21</v>
      </c>
      <c r="G191" s="2">
        <v>31.77</v>
      </c>
      <c r="H191" s="2">
        <v>6.4</v>
      </c>
      <c r="I191" s="12">
        <v>151</v>
      </c>
      <c r="J191" s="12">
        <v>0</v>
      </c>
      <c r="K191" s="12">
        <v>151</v>
      </c>
      <c r="L191" s="12">
        <v>0</v>
      </c>
      <c r="M191" s="12"/>
      <c r="N191" s="12"/>
      <c r="O191" s="2" t="s">
        <v>386</v>
      </c>
    </row>
    <row r="192" s="2" customFormat="1" spans="1:15">
      <c r="A192" s="2" t="s">
        <v>387</v>
      </c>
      <c r="B192" s="2" t="s">
        <v>388</v>
      </c>
      <c r="D192" s="2">
        <v>91</v>
      </c>
      <c r="E192" s="2" t="s">
        <v>23</v>
      </c>
      <c r="F192" s="2" t="s">
        <v>21</v>
      </c>
      <c r="G192" s="2">
        <v>25.74</v>
      </c>
      <c r="H192" s="2">
        <v>4.72</v>
      </c>
      <c r="I192" s="12"/>
      <c r="J192" s="12"/>
      <c r="K192" s="12"/>
      <c r="L192" s="12"/>
      <c r="M192" s="12"/>
      <c r="N192" s="12"/>
      <c r="O192" s="2" t="s">
        <v>389</v>
      </c>
    </row>
    <row r="193" s="2" customFormat="1" spans="1:15">
      <c r="A193" s="2" t="s">
        <v>387</v>
      </c>
      <c r="B193" s="2" t="s">
        <v>390</v>
      </c>
      <c r="D193" s="2">
        <v>220</v>
      </c>
      <c r="E193" s="2" t="s">
        <v>23</v>
      </c>
      <c r="F193" s="2" t="s">
        <v>21</v>
      </c>
      <c r="G193" s="2">
        <v>24.02</v>
      </c>
      <c r="H193" s="2">
        <v>3.54</v>
      </c>
      <c r="I193" s="12"/>
      <c r="J193" s="12"/>
      <c r="K193" s="12"/>
      <c r="L193" s="12"/>
      <c r="M193" s="12"/>
      <c r="N193" s="12"/>
      <c r="O193" s="2" t="s">
        <v>391</v>
      </c>
    </row>
    <row r="194" s="2" customFormat="1" spans="1:15">
      <c r="A194" s="2" t="s">
        <v>387</v>
      </c>
      <c r="B194" s="2" t="s">
        <v>128</v>
      </c>
      <c r="C194" s="2" t="s">
        <v>392</v>
      </c>
      <c r="D194" s="2">
        <v>173</v>
      </c>
      <c r="E194" s="2" t="s">
        <v>23</v>
      </c>
      <c r="F194" s="2" t="s">
        <v>21</v>
      </c>
      <c r="G194" s="2">
        <v>33.52</v>
      </c>
      <c r="H194" s="2">
        <v>7.63</v>
      </c>
      <c r="I194" s="12"/>
      <c r="J194" s="12"/>
      <c r="K194" s="12">
        <v>173</v>
      </c>
      <c r="L194" s="12">
        <v>0</v>
      </c>
      <c r="M194" s="12"/>
      <c r="N194" s="12"/>
      <c r="O194" s="2" t="s">
        <v>393</v>
      </c>
    </row>
    <row r="195" s="2" customFormat="1" spans="1:15">
      <c r="A195" s="2" t="s">
        <v>387</v>
      </c>
      <c r="B195" s="2" t="s">
        <v>128</v>
      </c>
      <c r="C195" s="2" t="s">
        <v>394</v>
      </c>
      <c r="D195" s="2">
        <v>173</v>
      </c>
      <c r="E195" s="2" t="s">
        <v>23</v>
      </c>
      <c r="F195" s="2" t="s">
        <v>21</v>
      </c>
      <c r="G195" s="2">
        <v>25.47</v>
      </c>
      <c r="H195" s="2">
        <v>5.29</v>
      </c>
      <c r="I195" s="12"/>
      <c r="J195" s="12"/>
      <c r="K195" s="12">
        <v>178</v>
      </c>
      <c r="L195" s="12">
        <v>0</v>
      </c>
      <c r="M195" s="12"/>
      <c r="N195" s="12"/>
      <c r="O195" s="2" t="s">
        <v>393</v>
      </c>
    </row>
    <row r="199" spans="9:11">
      <c r="I199" s="18"/>
      <c r="K199" s="18"/>
    </row>
  </sheetData>
  <autoFilter xmlns:etc="http://www.wps.cn/officeDocument/2017/etCustomData" ref="P1:P199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dorpmo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ynian</cp:lastModifiedBy>
  <dcterms:created xsi:type="dcterms:W3CDTF">2024-05-18T07:43:00Z</dcterms:created>
  <dcterms:modified xsi:type="dcterms:W3CDTF">2025-07-22T11:42:00Z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D66F90EF3FF246C4ABC27B3AAA55EFB4_12</vt:lpwstr>
  </property>
  <property fmtid="{D5CDD505-2E9C-101B-9397-08002B2CF9AE}" pid="3" name="KSOProductBuildVer">
    <vt:lpwstr>2052-12.1.0.21915</vt:lpwstr>
  </property>
</Properties>
</file>